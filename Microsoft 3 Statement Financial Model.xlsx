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inance Project\"/>
    </mc:Choice>
  </mc:AlternateContent>
  <xr:revisionPtr revIDLastSave="0" documentId="13_ncr:1_{AC9844C4-6116-488C-8198-BB519ACAA882}" xr6:coauthVersionLast="47" xr6:coauthVersionMax="47" xr10:uidLastSave="{00000000-0000-0000-0000-000000000000}"/>
  <bookViews>
    <workbookView xWindow="-110" yWindow="-110" windowWidth="19420" windowHeight="10420" xr2:uid="{18B32D1A-20BD-4B9E-BDAE-920F1800CE47}"/>
  </bookViews>
  <sheets>
    <sheet name="FSM" sheetId="1" r:id="rId1"/>
    <sheet name="Sensitivity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5" i="1" l="1"/>
  <c r="I61" i="1"/>
  <c r="J61" i="1"/>
  <c r="K61" i="1"/>
  <c r="L61" i="1"/>
  <c r="H61" i="1"/>
  <c r="F5" i="1"/>
  <c r="H33" i="1"/>
  <c r="I12" i="2"/>
  <c r="I37" i="1" s="1"/>
  <c r="J12" i="2"/>
  <c r="J37" i="1" s="1"/>
  <c r="K12" i="2"/>
  <c r="K37" i="1" s="1"/>
  <c r="L12" i="2"/>
  <c r="L37" i="1" s="1"/>
  <c r="H12" i="2"/>
  <c r="H37" i="1" s="1"/>
  <c r="I11" i="2"/>
  <c r="I34" i="1" s="1"/>
  <c r="J11" i="2"/>
  <c r="J34" i="1" s="1"/>
  <c r="K11" i="2"/>
  <c r="K34" i="1" s="1"/>
  <c r="L11" i="2"/>
  <c r="L34" i="1" s="1"/>
  <c r="H11" i="2"/>
  <c r="H34" i="1" s="1"/>
  <c r="I10" i="2"/>
  <c r="I33" i="1" s="1"/>
  <c r="J10" i="2"/>
  <c r="J33" i="1" s="1"/>
  <c r="K10" i="2"/>
  <c r="K33" i="1" s="1"/>
  <c r="L10" i="2"/>
  <c r="L33" i="1" s="1"/>
  <c r="H10" i="2"/>
  <c r="I9" i="2"/>
  <c r="I29" i="1" s="1"/>
  <c r="J9" i="2"/>
  <c r="J29" i="1" s="1"/>
  <c r="K9" i="2"/>
  <c r="K29" i="1" s="1"/>
  <c r="L9" i="2"/>
  <c r="L29" i="1" s="1"/>
  <c r="J31" i="2" l="1"/>
  <c r="K33" i="2"/>
  <c r="I21" i="2"/>
  <c r="L23" i="2"/>
  <c r="H23" i="2"/>
  <c r="F8" i="2"/>
  <c r="G8" i="2" s="1"/>
  <c r="H8" i="2" s="1"/>
  <c r="I8" i="2" s="1"/>
  <c r="J8" i="2" s="1"/>
  <c r="K8" i="2" s="1"/>
  <c r="L8" i="2" s="1"/>
  <c r="G193" i="1"/>
  <c r="F193" i="1"/>
  <c r="F189" i="1"/>
  <c r="G189" i="1" s="1"/>
  <c r="H189" i="1" s="1"/>
  <c r="I189" i="1" s="1"/>
  <c r="J189" i="1" s="1"/>
  <c r="K189" i="1" s="1"/>
  <c r="L189" i="1" s="1"/>
  <c r="H183" i="1"/>
  <c r="G187" i="1"/>
  <c r="F187" i="1"/>
  <c r="G183" i="1" s="1"/>
  <c r="F181" i="1"/>
  <c r="G181" i="1" s="1"/>
  <c r="H181" i="1" s="1"/>
  <c r="I181" i="1" s="1"/>
  <c r="J181" i="1" s="1"/>
  <c r="K181" i="1" s="1"/>
  <c r="L181" i="1" s="1"/>
  <c r="F171" i="1"/>
  <c r="G171" i="1" s="1"/>
  <c r="H171" i="1" s="1"/>
  <c r="I171" i="1" s="1"/>
  <c r="J171" i="1" s="1"/>
  <c r="K171" i="1" s="1"/>
  <c r="L171" i="1" s="1"/>
  <c r="I116" i="1"/>
  <c r="J116" i="1"/>
  <c r="K116" i="1"/>
  <c r="L116" i="1"/>
  <c r="H116" i="1"/>
  <c r="I117" i="1"/>
  <c r="J117" i="1"/>
  <c r="K117" i="1"/>
  <c r="L117" i="1"/>
  <c r="H117" i="1"/>
  <c r="I113" i="1"/>
  <c r="J113" i="1"/>
  <c r="K113" i="1"/>
  <c r="L113" i="1"/>
  <c r="H113" i="1"/>
  <c r="I112" i="1"/>
  <c r="J112" i="1"/>
  <c r="K112" i="1"/>
  <c r="L112" i="1"/>
  <c r="H112" i="1"/>
  <c r="H169" i="1"/>
  <c r="I166" i="1" s="1"/>
  <c r="I169" i="1" s="1"/>
  <c r="H166" i="1"/>
  <c r="G169" i="1"/>
  <c r="F169" i="1"/>
  <c r="G166" i="1" s="1"/>
  <c r="F164" i="1"/>
  <c r="G164" i="1" s="1"/>
  <c r="H164" i="1" s="1"/>
  <c r="I164" i="1" s="1"/>
  <c r="J164" i="1" s="1"/>
  <c r="K164" i="1" s="1"/>
  <c r="L164" i="1" s="1"/>
  <c r="H159" i="1"/>
  <c r="G162" i="1"/>
  <c r="F162" i="1"/>
  <c r="G159" i="1" s="1"/>
  <c r="F157" i="1"/>
  <c r="G157" i="1" s="1"/>
  <c r="H157" i="1" s="1"/>
  <c r="I157" i="1" s="1"/>
  <c r="J157" i="1" s="1"/>
  <c r="K157" i="1" s="1"/>
  <c r="L157" i="1" s="1"/>
  <c r="G155" i="1"/>
  <c r="H152" i="1" s="1"/>
  <c r="F150" i="1"/>
  <c r="G150" i="1" s="1"/>
  <c r="H150" i="1" s="1"/>
  <c r="I150" i="1" s="1"/>
  <c r="J150" i="1" s="1"/>
  <c r="K150" i="1" s="1"/>
  <c r="L150" i="1" s="1"/>
  <c r="F138" i="1"/>
  <c r="G138" i="1" s="1"/>
  <c r="H138" i="1" s="1"/>
  <c r="I138" i="1" s="1"/>
  <c r="J138" i="1" s="1"/>
  <c r="K138" i="1" s="1"/>
  <c r="L138" i="1" s="1"/>
  <c r="G143" i="1"/>
  <c r="G145" i="1" s="1"/>
  <c r="F143" i="1"/>
  <c r="F145" i="1" s="1"/>
  <c r="H145" i="1" s="1"/>
  <c r="I145" i="1" s="1"/>
  <c r="J145" i="1" s="1"/>
  <c r="K145" i="1" s="1"/>
  <c r="L145" i="1" s="1"/>
  <c r="F140" i="1"/>
  <c r="F141" i="1" s="1"/>
  <c r="G140" i="1"/>
  <c r="G141" i="1" s="1"/>
  <c r="E140" i="1"/>
  <c r="E141" i="1" s="1"/>
  <c r="F100" i="1"/>
  <c r="G100" i="1" s="1"/>
  <c r="H100" i="1" s="1"/>
  <c r="I100" i="1" s="1"/>
  <c r="J100" i="1" s="1"/>
  <c r="K100" i="1" s="1"/>
  <c r="L100" i="1" s="1"/>
  <c r="G93" i="1"/>
  <c r="F93" i="1"/>
  <c r="G86" i="1"/>
  <c r="G81" i="1"/>
  <c r="G65" i="1"/>
  <c r="F86" i="1"/>
  <c r="F81" i="1"/>
  <c r="F65" i="1"/>
  <c r="F52" i="1"/>
  <c r="G52" i="1" s="1"/>
  <c r="H52" i="1" s="1"/>
  <c r="I52" i="1" s="1"/>
  <c r="J52" i="1" s="1"/>
  <c r="K52" i="1" s="1"/>
  <c r="L52" i="1" s="1"/>
  <c r="G46" i="1"/>
  <c r="F46" i="1"/>
  <c r="G39" i="1"/>
  <c r="H39" i="1" s="1"/>
  <c r="I39" i="1" s="1"/>
  <c r="J39" i="1" s="1"/>
  <c r="K39" i="1" s="1"/>
  <c r="L39" i="1" s="1"/>
  <c r="F33" i="1"/>
  <c r="G33" i="1"/>
  <c r="E33" i="1"/>
  <c r="F32" i="1"/>
  <c r="G32" i="1"/>
  <c r="E32" i="1"/>
  <c r="F12" i="1"/>
  <c r="F34" i="1" s="1"/>
  <c r="G12" i="1"/>
  <c r="G36" i="1" s="1"/>
  <c r="H36" i="1" s="1"/>
  <c r="I36" i="1" s="1"/>
  <c r="J36" i="1" s="1"/>
  <c r="K36" i="1" s="1"/>
  <c r="L36" i="1" s="1"/>
  <c r="E12" i="1"/>
  <c r="E30" i="1" s="1"/>
  <c r="F15" i="1"/>
  <c r="F92" i="1" s="1"/>
  <c r="G15" i="1"/>
  <c r="G92" i="1" s="1"/>
  <c r="E15" i="1"/>
  <c r="F8" i="1"/>
  <c r="G8" i="1" s="1"/>
  <c r="H8" i="1" s="1"/>
  <c r="I8" i="1" s="1"/>
  <c r="J8" i="1" s="1"/>
  <c r="K8" i="1" s="1"/>
  <c r="L8" i="1" s="1"/>
  <c r="J16" i="2" l="1"/>
  <c r="J18" i="2"/>
  <c r="K21" i="2"/>
  <c r="K23" i="2"/>
  <c r="L26" i="2"/>
  <c r="L28" i="2"/>
  <c r="H33" i="2"/>
  <c r="H31" i="2"/>
  <c r="I33" i="2"/>
  <c r="I31" i="2"/>
  <c r="L16" i="2"/>
  <c r="L18" i="2"/>
  <c r="J26" i="2"/>
  <c r="J28" i="2"/>
  <c r="K18" i="2"/>
  <c r="K16" i="2"/>
  <c r="H28" i="2"/>
  <c r="H26" i="2"/>
  <c r="I28" i="2"/>
  <c r="I26" i="2"/>
  <c r="I18" i="2"/>
  <c r="I16" i="2"/>
  <c r="J21" i="2"/>
  <c r="J23" i="2"/>
  <c r="K28" i="2"/>
  <c r="K26" i="2"/>
  <c r="L31" i="2"/>
  <c r="L33" i="2"/>
  <c r="H21" i="2"/>
  <c r="L21" i="2"/>
  <c r="I23" i="2"/>
  <c r="J33" i="2"/>
  <c r="K31" i="2"/>
  <c r="H191" i="1"/>
  <c r="I75" i="1"/>
  <c r="I173" i="1"/>
  <c r="I175" i="1" s="1"/>
  <c r="I41" i="1" s="1"/>
  <c r="H173" i="1"/>
  <c r="H175" i="1" s="1"/>
  <c r="H41" i="1" s="1"/>
  <c r="H75" i="1"/>
  <c r="G191" i="1"/>
  <c r="J166" i="1"/>
  <c r="J169" i="1" s="1"/>
  <c r="J173" i="1" s="1"/>
  <c r="J175" i="1" s="1"/>
  <c r="J41" i="1" s="1"/>
  <c r="J46" i="1" s="1"/>
  <c r="J21" i="1" s="1"/>
  <c r="H93" i="1"/>
  <c r="I93" i="1" s="1"/>
  <c r="J93" i="1" s="1"/>
  <c r="K93" i="1" s="1"/>
  <c r="L93" i="1" s="1"/>
  <c r="H141" i="1"/>
  <c r="I141" i="1" s="1"/>
  <c r="J141" i="1" s="1"/>
  <c r="K141" i="1" s="1"/>
  <c r="L141" i="1" s="1"/>
  <c r="F36" i="1"/>
  <c r="F89" i="1"/>
  <c r="G89" i="1"/>
  <c r="H92" i="1"/>
  <c r="I92" i="1" s="1"/>
  <c r="J92" i="1" s="1"/>
  <c r="K92" i="1" s="1"/>
  <c r="L92" i="1" s="1"/>
  <c r="G91" i="1"/>
  <c r="F94" i="1"/>
  <c r="G95" i="1"/>
  <c r="G94" i="1"/>
  <c r="F91" i="1"/>
  <c r="F95" i="1"/>
  <c r="H95" i="1" s="1"/>
  <c r="I95" i="1" s="1"/>
  <c r="J95" i="1" s="1"/>
  <c r="K95" i="1" s="1"/>
  <c r="L95" i="1" s="1"/>
  <c r="G29" i="1"/>
  <c r="G35" i="1"/>
  <c r="H35" i="1" s="1"/>
  <c r="I35" i="1" s="1"/>
  <c r="J35" i="1" s="1"/>
  <c r="K35" i="1" s="1"/>
  <c r="L35" i="1" s="1"/>
  <c r="F31" i="1"/>
  <c r="F35" i="1"/>
  <c r="E34" i="1"/>
  <c r="F30" i="1"/>
  <c r="G34" i="1"/>
  <c r="E36" i="1"/>
  <c r="E31" i="1"/>
  <c r="G30" i="1"/>
  <c r="H30" i="1" s="1"/>
  <c r="I30" i="1" s="1"/>
  <c r="J30" i="1" s="1"/>
  <c r="K30" i="1" s="1"/>
  <c r="L30" i="1" s="1"/>
  <c r="E35" i="1"/>
  <c r="F16" i="1"/>
  <c r="F20" i="1" s="1"/>
  <c r="F22" i="1" s="1"/>
  <c r="F29" i="1"/>
  <c r="G31" i="1"/>
  <c r="H31" i="1" s="1"/>
  <c r="I31" i="1" s="1"/>
  <c r="J31" i="1" s="1"/>
  <c r="K31" i="1" s="1"/>
  <c r="L31" i="1" s="1"/>
  <c r="G16" i="1"/>
  <c r="G20" i="1" s="1"/>
  <c r="G22" i="1" s="1"/>
  <c r="E16" i="1"/>
  <c r="E20" i="1" s="1"/>
  <c r="E22" i="1" s="1"/>
  <c r="K166" i="1" l="1"/>
  <c r="K169" i="1" s="1"/>
  <c r="K173" i="1" s="1"/>
  <c r="K175" i="1" s="1"/>
  <c r="K41" i="1" s="1"/>
  <c r="K46" i="1" s="1"/>
  <c r="K21" i="1" s="1"/>
  <c r="J75" i="1"/>
  <c r="H91" i="1"/>
  <c r="H94" i="1"/>
  <c r="I94" i="1" s="1"/>
  <c r="J94" i="1" s="1"/>
  <c r="K94" i="1" s="1"/>
  <c r="L94" i="1" s="1"/>
  <c r="G24" i="1"/>
  <c r="G37" i="1"/>
  <c r="E24" i="1"/>
  <c r="E37" i="1"/>
  <c r="F24" i="1"/>
  <c r="F37" i="1"/>
  <c r="L166" i="1" l="1"/>
  <c r="L169" i="1" s="1"/>
  <c r="K75" i="1"/>
  <c r="E131" i="1"/>
  <c r="E132" i="1"/>
  <c r="E133" i="1"/>
  <c r="F133" i="1"/>
  <c r="F131" i="1"/>
  <c r="F132" i="1"/>
  <c r="G132" i="1"/>
  <c r="G131" i="1"/>
  <c r="G133" i="1"/>
  <c r="I91" i="1"/>
  <c r="L75" i="1" l="1"/>
  <c r="L173" i="1"/>
  <c r="L175" i="1" s="1"/>
  <c r="L41" i="1" s="1"/>
  <c r="L46" i="1" s="1"/>
  <c r="L21" i="1" s="1"/>
  <c r="J91" i="1"/>
  <c r="K91" i="1" l="1"/>
  <c r="L91" i="1" l="1"/>
  <c r="H46" i="1" l="1"/>
  <c r="H21" i="1" s="1"/>
  <c r="I46" i="1" l="1"/>
  <c r="I21" i="1" s="1"/>
  <c r="H16" i="2"/>
  <c r="H18" i="2" l="1"/>
  <c r="H9" i="2"/>
  <c r="H29" i="1" s="1"/>
  <c r="H57" i="1" l="1"/>
  <c r="I57" i="1" s="1"/>
  <c r="J57" i="1" s="1"/>
  <c r="K57" i="1" s="1"/>
  <c r="L57" i="1" s="1"/>
  <c r="H103" i="1"/>
  <c r="H12" i="1"/>
  <c r="H71" i="1"/>
  <c r="I71" i="1" s="1"/>
  <c r="J71" i="1" s="1"/>
  <c r="K71" i="1" s="1"/>
  <c r="L71" i="1" s="1"/>
  <c r="H74" i="1"/>
  <c r="I74" i="1" s="1"/>
  <c r="J74" i="1" s="1"/>
  <c r="K74" i="1" s="1"/>
  <c r="L74" i="1" s="1"/>
  <c r="H60" i="1"/>
  <c r="H79" i="1"/>
  <c r="H80" i="1"/>
  <c r="H64" i="1"/>
  <c r="H108" i="1" l="1"/>
  <c r="I79" i="1"/>
  <c r="H73" i="1"/>
  <c r="H18" i="1"/>
  <c r="I12" i="1"/>
  <c r="H10" i="1"/>
  <c r="H13" i="1" s="1"/>
  <c r="H19" i="1"/>
  <c r="H17" i="1"/>
  <c r="H56" i="1"/>
  <c r="H105" i="1" s="1"/>
  <c r="H77" i="1"/>
  <c r="H109" i="1" s="1"/>
  <c r="H11" i="1"/>
  <c r="H14" i="1" s="1"/>
  <c r="H118" i="1"/>
  <c r="H143" i="1"/>
  <c r="H144" i="1" s="1"/>
  <c r="H161" i="1" s="1"/>
  <c r="I64" i="1"/>
  <c r="H162" i="1"/>
  <c r="I60" i="1"/>
  <c r="H107" i="1"/>
  <c r="I103" i="1"/>
  <c r="H192" i="1"/>
  <c r="H193" i="1" s="1"/>
  <c r="H123" i="1"/>
  <c r="I80" i="1"/>
  <c r="I159" i="1" l="1"/>
  <c r="H160" i="1"/>
  <c r="H122" i="1" s="1"/>
  <c r="J103" i="1"/>
  <c r="I192" i="1"/>
  <c r="I162" i="1"/>
  <c r="J64" i="1"/>
  <c r="I143" i="1"/>
  <c r="I144" i="1" s="1"/>
  <c r="I161" i="1" s="1"/>
  <c r="J80" i="1"/>
  <c r="I123" i="1"/>
  <c r="H15" i="1"/>
  <c r="I108" i="1"/>
  <c r="J79" i="1"/>
  <c r="H83" i="1"/>
  <c r="I191" i="1"/>
  <c r="J60" i="1"/>
  <c r="I107" i="1"/>
  <c r="I118" i="1"/>
  <c r="I56" i="1"/>
  <c r="I105" i="1" s="1"/>
  <c r="I11" i="1"/>
  <c r="I14" i="1" s="1"/>
  <c r="J12" i="1"/>
  <c r="I73" i="1"/>
  <c r="I19" i="1"/>
  <c r="I10" i="1"/>
  <c r="I13" i="1" s="1"/>
  <c r="I17" i="1"/>
  <c r="I77" i="1"/>
  <c r="I109" i="1" s="1"/>
  <c r="I18" i="1"/>
  <c r="I15" i="1" l="1"/>
  <c r="I68" i="1" s="1"/>
  <c r="K60" i="1"/>
  <c r="J107" i="1"/>
  <c r="J192" i="1"/>
  <c r="K103" i="1"/>
  <c r="K80" i="1"/>
  <c r="J123" i="1"/>
  <c r="J118" i="1"/>
  <c r="I193" i="1"/>
  <c r="H68" i="1"/>
  <c r="H16" i="1"/>
  <c r="H20" i="1" s="1"/>
  <c r="H22" i="1" s="1"/>
  <c r="H23" i="1" s="1"/>
  <c r="H72" i="1" s="1"/>
  <c r="H106" i="1" s="1"/>
  <c r="J162" i="1"/>
  <c r="K159" i="1" s="1"/>
  <c r="J143" i="1"/>
  <c r="J144" i="1" s="1"/>
  <c r="J161" i="1" s="1"/>
  <c r="K64" i="1"/>
  <c r="I16" i="1"/>
  <c r="I20" i="1" s="1"/>
  <c r="I22" i="1" s="1"/>
  <c r="I23" i="1" s="1"/>
  <c r="I72" i="1" s="1"/>
  <c r="K79" i="1"/>
  <c r="J108" i="1"/>
  <c r="K12" i="1"/>
  <c r="J18" i="1"/>
  <c r="J17" i="1"/>
  <c r="J19" i="1"/>
  <c r="J77" i="1"/>
  <c r="J109" i="1" s="1"/>
  <c r="J10" i="1"/>
  <c r="J13" i="1" s="1"/>
  <c r="J56" i="1"/>
  <c r="J105" i="1" s="1"/>
  <c r="J73" i="1"/>
  <c r="J11" i="1"/>
  <c r="J14" i="1" s="1"/>
  <c r="I160" i="1"/>
  <c r="I122" i="1" s="1"/>
  <c r="J159" i="1"/>
  <c r="J15" i="1" l="1"/>
  <c r="J68" i="1" s="1"/>
  <c r="H24" i="1"/>
  <c r="H115" i="1" s="1"/>
  <c r="H186" i="1" s="1"/>
  <c r="I106" i="1"/>
  <c r="I81" i="1"/>
  <c r="L118" i="1"/>
  <c r="K118" i="1"/>
  <c r="K11" i="1"/>
  <c r="K14" i="1" s="1"/>
  <c r="L12" i="1"/>
  <c r="K19" i="1"/>
  <c r="K73" i="1"/>
  <c r="K77" i="1"/>
  <c r="K109" i="1" s="1"/>
  <c r="K56" i="1"/>
  <c r="K105" i="1" s="1"/>
  <c r="K17" i="1"/>
  <c r="K10" i="1"/>
  <c r="K13" i="1" s="1"/>
  <c r="K18" i="1"/>
  <c r="I24" i="1"/>
  <c r="K162" i="1"/>
  <c r="K143" i="1"/>
  <c r="K144" i="1" s="1"/>
  <c r="K161" i="1" s="1"/>
  <c r="L64" i="1"/>
  <c r="H81" i="1"/>
  <c r="L103" i="1"/>
  <c r="L192" i="1" s="1"/>
  <c r="K192" i="1"/>
  <c r="L79" i="1"/>
  <c r="L108" i="1" s="1"/>
  <c r="K108" i="1"/>
  <c r="J160" i="1"/>
  <c r="J122" i="1" s="1"/>
  <c r="J191" i="1"/>
  <c r="J193" i="1" s="1"/>
  <c r="I83" i="1"/>
  <c r="K123" i="1"/>
  <c r="L80" i="1"/>
  <c r="L123" i="1" s="1"/>
  <c r="L60" i="1"/>
  <c r="L107" i="1" s="1"/>
  <c r="K107" i="1"/>
  <c r="J16" i="1" l="1"/>
  <c r="J20" i="1" s="1"/>
  <c r="J22" i="1" s="1"/>
  <c r="H121" i="1"/>
  <c r="H140" i="1" s="1"/>
  <c r="H139" i="1" s="1"/>
  <c r="H184" i="1"/>
  <c r="H114" i="1"/>
  <c r="H119" i="1" s="1"/>
  <c r="H102" i="1"/>
  <c r="K191" i="1"/>
  <c r="K193" i="1" s="1"/>
  <c r="J83" i="1"/>
  <c r="L10" i="1"/>
  <c r="L13" i="1" s="1"/>
  <c r="L73" i="1"/>
  <c r="L11" i="1"/>
  <c r="L14" i="1" s="1"/>
  <c r="L77" i="1"/>
  <c r="L109" i="1" s="1"/>
  <c r="L19" i="1"/>
  <c r="L18" i="1"/>
  <c r="L56" i="1"/>
  <c r="L105" i="1" s="1"/>
  <c r="L17" i="1"/>
  <c r="K160" i="1"/>
  <c r="K122" i="1" s="1"/>
  <c r="L159" i="1"/>
  <c r="I121" i="1"/>
  <c r="I184" i="1"/>
  <c r="I102" i="1"/>
  <c r="I115" i="1"/>
  <c r="I186" i="1" s="1"/>
  <c r="I114" i="1"/>
  <c r="K15" i="1"/>
  <c r="L162" i="1"/>
  <c r="L143" i="1"/>
  <c r="L144" i="1" s="1"/>
  <c r="L161" i="1" s="1"/>
  <c r="J23" i="1"/>
  <c r="J72" i="1" s="1"/>
  <c r="J81" i="1" s="1"/>
  <c r="H124" i="1"/>
  <c r="H185" i="1" l="1"/>
  <c r="H187" i="1" s="1"/>
  <c r="L160" i="1"/>
  <c r="L122" i="1" s="1"/>
  <c r="H153" i="1"/>
  <c r="L15" i="1"/>
  <c r="L68" i="1" s="1"/>
  <c r="K68" i="1"/>
  <c r="K16" i="1"/>
  <c r="K20" i="1" s="1"/>
  <c r="K22" i="1" s="1"/>
  <c r="J24" i="1"/>
  <c r="I185" i="1"/>
  <c r="I119" i="1"/>
  <c r="I153" i="1"/>
  <c r="I124" i="1"/>
  <c r="I140" i="1"/>
  <c r="I139" i="1" s="1"/>
  <c r="K83" i="1"/>
  <c r="L191" i="1"/>
  <c r="L193" i="1" s="1"/>
  <c r="L83" i="1" s="1"/>
  <c r="J106" i="1"/>
  <c r="L16" i="1"/>
  <c r="L20" i="1" s="1"/>
  <c r="L22" i="1" s="1"/>
  <c r="L23" i="1" s="1"/>
  <c r="L72" i="1" s="1"/>
  <c r="L81" i="1" s="1"/>
  <c r="H84" i="1"/>
  <c r="H86" i="1" s="1"/>
  <c r="I183" i="1"/>
  <c r="H154" i="1"/>
  <c r="H155" i="1" s="1"/>
  <c r="H147" i="1"/>
  <c r="H104" i="1" s="1"/>
  <c r="H110" i="1" s="1"/>
  <c r="H126" i="1" s="1"/>
  <c r="H54" i="1" s="1"/>
  <c r="J184" i="1" l="1"/>
  <c r="J114" i="1"/>
  <c r="J115" i="1"/>
  <c r="J186" i="1" s="1"/>
  <c r="J102" i="1"/>
  <c r="J121" i="1"/>
  <c r="I154" i="1"/>
  <c r="I147" i="1"/>
  <c r="I104" i="1" s="1"/>
  <c r="I110" i="1" s="1"/>
  <c r="I126" i="1" s="1"/>
  <c r="I54" i="1" s="1"/>
  <c r="L24" i="1"/>
  <c r="L121" i="1" s="1"/>
  <c r="I187" i="1"/>
  <c r="K23" i="1"/>
  <c r="K72" i="1" s="1"/>
  <c r="K81" i="1" s="1"/>
  <c r="I152" i="1"/>
  <c r="H59" i="1"/>
  <c r="H89" i="1" s="1"/>
  <c r="H177" i="1"/>
  <c r="H179" i="1" s="1"/>
  <c r="I84" i="1"/>
  <c r="I86" i="1" s="1"/>
  <c r="J183" i="1"/>
  <c r="L106" i="1" l="1"/>
  <c r="K106" i="1"/>
  <c r="L102" i="1"/>
  <c r="I155" i="1"/>
  <c r="J152" i="1" s="1"/>
  <c r="L114" i="1"/>
  <c r="L185" i="1" s="1"/>
  <c r="L184" i="1"/>
  <c r="L115" i="1"/>
  <c r="L186" i="1" s="1"/>
  <c r="K24" i="1"/>
  <c r="J185" i="1"/>
  <c r="J187" i="1" s="1"/>
  <c r="J119" i="1"/>
  <c r="J140" i="1"/>
  <c r="J139" i="1" s="1"/>
  <c r="J124" i="1"/>
  <c r="J153" i="1"/>
  <c r="I177" i="1"/>
  <c r="I179" i="1" s="1"/>
  <c r="L153" i="1"/>
  <c r="L140" i="1"/>
  <c r="L139" i="1" s="1"/>
  <c r="L124" i="1"/>
  <c r="I59" i="1" l="1"/>
  <c r="I65" i="1" s="1"/>
  <c r="I89" i="1" s="1"/>
  <c r="J84" i="1"/>
  <c r="J86" i="1" s="1"/>
  <c r="K183" i="1"/>
  <c r="L119" i="1"/>
  <c r="J154" i="1"/>
  <c r="J155" i="1" s="1"/>
  <c r="J147" i="1"/>
  <c r="J104" i="1" s="1"/>
  <c r="J110" i="1" s="1"/>
  <c r="J126" i="1" s="1"/>
  <c r="J54" i="1" s="1"/>
  <c r="J177" i="1" s="1"/>
  <c r="J179" i="1" s="1"/>
  <c r="K184" i="1"/>
  <c r="K115" i="1"/>
  <c r="K186" i="1" s="1"/>
  <c r="K102" i="1"/>
  <c r="K121" i="1"/>
  <c r="K114" i="1"/>
  <c r="L154" i="1"/>
  <c r="L147" i="1"/>
  <c r="L104" i="1" s="1"/>
  <c r="L110" i="1" s="1"/>
  <c r="L126" i="1" l="1"/>
  <c r="J59" i="1"/>
  <c r="J65" i="1" s="1"/>
  <c r="J89" i="1" s="1"/>
  <c r="K152" i="1"/>
  <c r="K119" i="1"/>
  <c r="K185" i="1"/>
  <c r="K187" i="1" s="1"/>
  <c r="K124" i="1"/>
  <c r="K153" i="1"/>
  <c r="K140" i="1"/>
  <c r="K139" i="1" s="1"/>
  <c r="L183" i="1" l="1"/>
  <c r="L187" i="1" s="1"/>
  <c r="L84" i="1" s="1"/>
  <c r="L86" i="1" s="1"/>
  <c r="K84" i="1"/>
  <c r="K86" i="1" s="1"/>
  <c r="K154" i="1"/>
  <c r="K155" i="1" s="1"/>
  <c r="K147" i="1"/>
  <c r="K104" i="1" s="1"/>
  <c r="K110" i="1" s="1"/>
  <c r="K126" i="1" s="1"/>
  <c r="K54" i="1" s="1"/>
  <c r="L152" i="1" l="1"/>
  <c r="L155" i="1" s="1"/>
  <c r="L59" i="1" s="1"/>
  <c r="K59" i="1"/>
  <c r="K65" i="1" s="1"/>
  <c r="K89" i="1" s="1"/>
  <c r="K177" i="1"/>
  <c r="K179" i="1" s="1"/>
  <c r="L54" i="1"/>
  <c r="L65" i="1" l="1"/>
  <c r="L89" i="1" s="1"/>
  <c r="L177" i="1"/>
  <c r="L179" i="1" s="1"/>
</calcChain>
</file>

<file path=xl/sharedStrings.xml><?xml version="1.0" encoding="utf-8"?>
<sst xmlns="http://schemas.openxmlformats.org/spreadsheetml/2006/main" count="182" uniqueCount="137">
  <si>
    <t>Income Statement</t>
  </si>
  <si>
    <t>Product</t>
  </si>
  <si>
    <t>Service and other</t>
  </si>
  <si>
    <t>Total Revenue</t>
  </si>
  <si>
    <t>Product COGS</t>
  </si>
  <si>
    <t>Service and other COGS</t>
  </si>
  <si>
    <t>Total COGS</t>
  </si>
  <si>
    <t>Gross Margin</t>
  </si>
  <si>
    <t>R&amp;D</t>
  </si>
  <si>
    <t>Sales and marketing</t>
  </si>
  <si>
    <t>General and Administration</t>
  </si>
  <si>
    <t>Operating Income</t>
  </si>
  <si>
    <t>Other income(expense), net</t>
  </si>
  <si>
    <t>Income before taxes</t>
  </si>
  <si>
    <t>Provision for income tax</t>
  </si>
  <si>
    <t>Net Income</t>
  </si>
  <si>
    <t>Revenue Growth</t>
  </si>
  <si>
    <t>Revenue from Product</t>
  </si>
  <si>
    <t>Revenue from Services and other</t>
  </si>
  <si>
    <t>Step Function</t>
  </si>
  <si>
    <t>Product COGS/Product Revenue</t>
  </si>
  <si>
    <t>Service and other COGS/Services and other Revenue</t>
  </si>
  <si>
    <t>R&amp;D as % of Total Revenue</t>
  </si>
  <si>
    <t>Sales and Marketing as % of Total Revenue</t>
  </si>
  <si>
    <t>General and Admin as % of Total Revenue</t>
  </si>
  <si>
    <t>Other income (expense)net</t>
  </si>
  <si>
    <t>interest and dividend income</t>
  </si>
  <si>
    <t>interest expense</t>
  </si>
  <si>
    <t>net recognized loss on investment</t>
  </si>
  <si>
    <t>net loss on derivatives</t>
  </si>
  <si>
    <t>net gain (loss) on foreign currency transaction</t>
  </si>
  <si>
    <t>other,net</t>
  </si>
  <si>
    <t>total</t>
  </si>
  <si>
    <t>Tax rate</t>
  </si>
  <si>
    <t>Balance Sheet</t>
  </si>
  <si>
    <t>Cash and Cash Equivalent</t>
  </si>
  <si>
    <t>Short term investments</t>
  </si>
  <si>
    <t>Accounts receivables</t>
  </si>
  <si>
    <t>Inventories</t>
  </si>
  <si>
    <t>Other current assets</t>
  </si>
  <si>
    <t>Operating lease right of use Assets</t>
  </si>
  <si>
    <t>Equity and other investments</t>
  </si>
  <si>
    <t>Goodwill</t>
  </si>
  <si>
    <t>Intangible assets</t>
  </si>
  <si>
    <t>Other long term assets</t>
  </si>
  <si>
    <t>PPE</t>
  </si>
  <si>
    <t>Total Assets</t>
  </si>
  <si>
    <t>Accounts payable</t>
  </si>
  <si>
    <t>Short term debt</t>
  </si>
  <si>
    <t>Current portion of long term debt</t>
  </si>
  <si>
    <t>Accrued compensation</t>
  </si>
  <si>
    <t>Short term income tax</t>
  </si>
  <si>
    <t>Short term unearned revenue</t>
  </si>
  <si>
    <t>Other current liability</t>
  </si>
  <si>
    <t>Long term debt</t>
  </si>
  <si>
    <t>Long term income tax</t>
  </si>
  <si>
    <t>Long term unearned revenue</t>
  </si>
  <si>
    <t>Deffered income tax</t>
  </si>
  <si>
    <t>Operating lease liability</t>
  </si>
  <si>
    <t>Other long term liability</t>
  </si>
  <si>
    <t>Total Liability</t>
  </si>
  <si>
    <t>Common stock and Paid in capital</t>
  </si>
  <si>
    <t>Retained earnings</t>
  </si>
  <si>
    <t>AOCI</t>
  </si>
  <si>
    <t>Shareholder Equity</t>
  </si>
  <si>
    <t>Balance Check</t>
  </si>
  <si>
    <t xml:space="preserve">DSO </t>
  </si>
  <si>
    <t>DPO</t>
  </si>
  <si>
    <t>Short  term income tax/Total income tax</t>
  </si>
  <si>
    <t>Short term unearned revenue/ Total revenue</t>
  </si>
  <si>
    <t>Long term unearned revenue/ Total revenue</t>
  </si>
  <si>
    <t>Cash Flow Statement</t>
  </si>
  <si>
    <t>Stock based compensation</t>
  </si>
  <si>
    <t>D&amp;A</t>
  </si>
  <si>
    <t>Changes In Working Capital Assets</t>
  </si>
  <si>
    <t>Changes In Working Capital Liabilities</t>
  </si>
  <si>
    <t>Cash Generated From Operations</t>
  </si>
  <si>
    <t>Repayment of debt</t>
  </si>
  <si>
    <t>New debt taken</t>
  </si>
  <si>
    <t>Dividends paid</t>
  </si>
  <si>
    <t>Stock purchases</t>
  </si>
  <si>
    <t>Commercial paper</t>
  </si>
  <si>
    <t>Change in equity and other investment</t>
  </si>
  <si>
    <t>Cash used in investing activity</t>
  </si>
  <si>
    <t>N/A</t>
  </si>
  <si>
    <t>Change in Current portion of long term debt</t>
  </si>
  <si>
    <t>Changes Operating lease liability</t>
  </si>
  <si>
    <t>Changes Operating lease right of use Assets</t>
  </si>
  <si>
    <t>Changes in long term unearned revenue</t>
  </si>
  <si>
    <t>Payout Ratio (Dividends/Net income)</t>
  </si>
  <si>
    <t>Stock repurchase/Net income</t>
  </si>
  <si>
    <t>Purchase of PPE/Capex</t>
  </si>
  <si>
    <t>Change in non current assets</t>
  </si>
  <si>
    <t>Change in non current liability</t>
  </si>
  <si>
    <t>Cash used in Financing activity</t>
  </si>
  <si>
    <t>Capex/Net income</t>
  </si>
  <si>
    <t>Cash generated by the end of the year</t>
  </si>
  <si>
    <t>Capex/Depreciation of PPE</t>
  </si>
  <si>
    <t>Depreciation related to PPE/Capex</t>
  </si>
  <si>
    <t>Depreciation related to PPE</t>
  </si>
  <si>
    <t>Long term assets</t>
  </si>
  <si>
    <t>D&amp;A related to long term assets</t>
  </si>
  <si>
    <t>D&amp;A related to long term assets/Long term assets</t>
  </si>
  <si>
    <t>Total D&amp;A</t>
  </si>
  <si>
    <t>D&amp;A Schedule</t>
  </si>
  <si>
    <t>PPE Schedule</t>
  </si>
  <si>
    <t>BOP</t>
  </si>
  <si>
    <t>Plus Capex</t>
  </si>
  <si>
    <t>Less D&amp;A related to PPE</t>
  </si>
  <si>
    <t>EOP</t>
  </si>
  <si>
    <t>Non Current Asset Schedule</t>
  </si>
  <si>
    <t>Plus/(Sell) Non current assets</t>
  </si>
  <si>
    <t>Less D&amp;A of Non current assets</t>
  </si>
  <si>
    <t>Plus new debt taken</t>
  </si>
  <si>
    <t>Less repayment</t>
  </si>
  <si>
    <t>Long Term Debt Schedule</t>
  </si>
  <si>
    <t>Interest</t>
  </si>
  <si>
    <t>Interest rate</t>
  </si>
  <si>
    <t>Interest Expense</t>
  </si>
  <si>
    <t>Cash and cash equivalent</t>
  </si>
  <si>
    <t xml:space="preserve">Interest Rate </t>
  </si>
  <si>
    <t>Interest Income</t>
  </si>
  <si>
    <t>Less Dividends</t>
  </si>
  <si>
    <t>Less Repurchases</t>
  </si>
  <si>
    <t>Common Stock &amp; APIC</t>
  </si>
  <si>
    <t>SBC</t>
  </si>
  <si>
    <t>Revenue growth</t>
  </si>
  <si>
    <t>Sensitivity Analysis</t>
  </si>
  <si>
    <t>Best Case</t>
  </si>
  <si>
    <t>Street Case</t>
  </si>
  <si>
    <t>Weak Case</t>
  </si>
  <si>
    <t>OFFSET</t>
  </si>
  <si>
    <t>Active Case</t>
  </si>
  <si>
    <t>3 Statement Financial Model of Microsoft</t>
  </si>
  <si>
    <t>Grown with Revenue</t>
  </si>
  <si>
    <t>Constant</t>
  </si>
  <si>
    <t>Average of FY 24 &amp;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</si>
</sst>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37" fontId="0" fillId="0" borderId="0" xfId="0" applyNumberFormat="1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  <xf numFmtId="0" fontId="3" fillId="0" borderId="0" xfId="0" applyFont="1"/>
    <xf numFmtId="9" fontId="0" fillId="0" borderId="0" xfId="0" applyNumberFormat="1"/>
    <xf numFmtId="0" fontId="2" fillId="0" borderId="2" xfId="0" applyFont="1" applyBorder="1"/>
    <xf numFmtId="0" fontId="4" fillId="0" borderId="3" xfId="0" applyFont="1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3" fillId="0" borderId="7" xfId="0" applyFont="1" applyBorder="1"/>
    <xf numFmtId="0" fontId="7" fillId="0" borderId="0" xfId="0" applyFont="1"/>
    <xf numFmtId="37" fontId="7" fillId="0" borderId="0" xfId="0" applyNumberFormat="1" applyFont="1"/>
    <xf numFmtId="37" fontId="7" fillId="3" borderId="0" xfId="0" applyNumberFormat="1" applyFont="1" applyFill="1"/>
    <xf numFmtId="0" fontId="8" fillId="0" borderId="0" xfId="0" applyFont="1"/>
    <xf numFmtId="37" fontId="8" fillId="0" borderId="0" xfId="0" applyNumberFormat="1" applyFont="1"/>
    <xf numFmtId="37" fontId="8" fillId="3" borderId="0" xfId="0" applyNumberFormat="1" applyFont="1" applyFill="1"/>
    <xf numFmtId="37" fontId="7" fillId="2" borderId="0" xfId="0" applyNumberFormat="1" applyFont="1" applyFill="1"/>
    <xf numFmtId="164" fontId="7" fillId="0" borderId="0" xfId="0" applyNumberFormat="1" applyFont="1"/>
    <xf numFmtId="164" fontId="7" fillId="0" borderId="0" xfId="1" applyNumberFormat="1" applyFont="1"/>
    <xf numFmtId="10" fontId="7" fillId="0" borderId="0" xfId="0" applyNumberFormat="1" applyFont="1"/>
    <xf numFmtId="9" fontId="7" fillId="0" borderId="0" xfId="1" applyFont="1"/>
    <xf numFmtId="10" fontId="7" fillId="0" borderId="0" xfId="1" applyNumberFormat="1" applyFont="1"/>
    <xf numFmtId="14" fontId="7" fillId="0" borderId="0" xfId="1" applyNumberFormat="1" applyFont="1"/>
    <xf numFmtId="37" fontId="7" fillId="0" borderId="0" xfId="1" applyNumberFormat="1" applyFont="1"/>
    <xf numFmtId="37" fontId="7" fillId="3" borderId="0" xfId="1" applyNumberFormat="1" applyFont="1" applyFill="1"/>
    <xf numFmtId="0" fontId="8" fillId="0" borderId="1" xfId="0" applyFont="1" applyBorder="1"/>
    <xf numFmtId="14" fontId="8" fillId="0" borderId="1" xfId="0" applyNumberFormat="1" applyFont="1" applyBorder="1"/>
    <xf numFmtId="0" fontId="10" fillId="0" borderId="8" xfId="0" applyFont="1" applyBorder="1"/>
    <xf numFmtId="0" fontId="2" fillId="0" borderId="9" xfId="0" applyFont="1" applyBorder="1"/>
    <xf numFmtId="0" fontId="11" fillId="0" borderId="0" xfId="0" applyFont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/>
    <xf numFmtId="0" fontId="9" fillId="4" borderId="0" xfId="0" applyFont="1" applyFill="1"/>
    <xf numFmtId="14" fontId="9" fillId="4" borderId="0" xfId="0" applyNumberFormat="1" applyFont="1" applyFill="1"/>
    <xf numFmtId="0" fontId="12" fillId="4" borderId="0" xfId="0" applyFont="1" applyFill="1"/>
    <xf numFmtId="14" fontId="12" fillId="4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EB94-EE10-4434-94F9-CDA06F04A636}">
  <dimension ref="A1:M197"/>
  <sheetViews>
    <sheetView tabSelected="1" zoomScale="80" zoomScaleNormal="80" workbookViewId="0">
      <selection activeCell="C11" sqref="C11"/>
    </sheetView>
  </sheetViews>
  <sheetFormatPr defaultRowHeight="14.5" x14ac:dyDescent="0.35"/>
  <cols>
    <col min="4" max="4" width="45.08984375" bestFit="1" customWidth="1"/>
    <col min="5" max="5" width="11.90625" style="1" bestFit="1" customWidth="1"/>
    <col min="6" max="6" width="13.08984375" style="1" bestFit="1" customWidth="1"/>
    <col min="7" max="12" width="11.90625" style="1" bestFit="1" customWidth="1"/>
    <col min="13" max="13" width="19.7265625" bestFit="1" customWidth="1"/>
  </cols>
  <sheetData>
    <row r="1" spans="1:13" s="37" customFormat="1" x14ac:dyDescent="0.35">
      <c r="A1" s="35" t="s">
        <v>133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37" customForma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37" customForma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x14ac:dyDescent="0.35">
      <c r="E4"/>
      <c r="F4"/>
      <c r="G4"/>
      <c r="H4"/>
      <c r="I4"/>
      <c r="J4"/>
      <c r="K4"/>
      <c r="L4"/>
    </row>
    <row r="5" spans="1:13" ht="15.5" x14ac:dyDescent="0.35">
      <c r="E5" s="32" t="s">
        <v>132</v>
      </c>
      <c r="F5" s="33">
        <f>'Sensitivity Analysis'!E2</f>
        <v>2</v>
      </c>
      <c r="G5"/>
      <c r="H5"/>
      <c r="I5"/>
      <c r="J5"/>
      <c r="K5"/>
      <c r="L5"/>
    </row>
    <row r="6" spans="1:13" x14ac:dyDescent="0.35">
      <c r="E6"/>
      <c r="F6"/>
      <c r="G6"/>
      <c r="H6"/>
      <c r="I6"/>
      <c r="J6"/>
      <c r="K6"/>
      <c r="L6"/>
    </row>
    <row r="7" spans="1:13" x14ac:dyDescent="0.35">
      <c r="E7"/>
      <c r="F7"/>
      <c r="G7"/>
      <c r="H7"/>
      <c r="I7"/>
      <c r="J7"/>
      <c r="K7"/>
      <c r="L7"/>
    </row>
    <row r="8" spans="1:13" ht="18.5" x14ac:dyDescent="0.45">
      <c r="D8" s="38" t="s">
        <v>0</v>
      </c>
      <c r="E8" s="39">
        <v>45107</v>
      </c>
      <c r="F8" s="39">
        <f>EOMONTH(E8,12)</f>
        <v>45473</v>
      </c>
      <c r="G8" s="39">
        <f t="shared" ref="G8:L8" si="0">EOMONTH(F8,12)</f>
        <v>45838</v>
      </c>
      <c r="H8" s="39">
        <f t="shared" si="0"/>
        <v>46203</v>
      </c>
      <c r="I8" s="39">
        <f t="shared" si="0"/>
        <v>46568</v>
      </c>
      <c r="J8" s="39">
        <f t="shared" si="0"/>
        <v>46934</v>
      </c>
      <c r="K8" s="39">
        <f t="shared" si="0"/>
        <v>47299</v>
      </c>
      <c r="L8" s="39">
        <f t="shared" si="0"/>
        <v>47664</v>
      </c>
    </row>
    <row r="9" spans="1:13" ht="15.5" x14ac:dyDescent="0.35">
      <c r="D9" s="15"/>
      <c r="E9" s="16"/>
      <c r="F9" s="16"/>
      <c r="G9" s="16"/>
      <c r="H9" s="16"/>
      <c r="I9" s="16"/>
      <c r="J9" s="16"/>
      <c r="K9" s="16"/>
      <c r="L9" s="16"/>
    </row>
    <row r="10" spans="1:13" ht="15.5" x14ac:dyDescent="0.35">
      <c r="D10" s="15" t="s">
        <v>1</v>
      </c>
      <c r="E10" s="16">
        <v>64699</v>
      </c>
      <c r="F10" s="16">
        <v>64773</v>
      </c>
      <c r="G10" s="16">
        <v>63946</v>
      </c>
      <c r="H10" s="17">
        <f>H12*H30</f>
        <v>70092.361999999994</v>
      </c>
      <c r="I10" s="17">
        <f t="shared" ref="I10:L10" si="1">I12*I30</f>
        <v>75908.468599999978</v>
      </c>
      <c r="J10" s="17">
        <f t="shared" si="1"/>
        <v>82248.382639499963</v>
      </c>
      <c r="K10" s="17">
        <f t="shared" si="1"/>
        <v>86425.294551749961</v>
      </c>
      <c r="L10" s="17">
        <f t="shared" si="1"/>
        <v>90361.303463320262</v>
      </c>
    </row>
    <row r="11" spans="1:13" ht="15.5" x14ac:dyDescent="0.35">
      <c r="D11" s="15" t="s">
        <v>2</v>
      </c>
      <c r="E11" s="16">
        <v>147216</v>
      </c>
      <c r="F11" s="16">
        <v>180349</v>
      </c>
      <c r="G11" s="16">
        <v>217778</v>
      </c>
      <c r="H11" s="17">
        <f>H12*H31</f>
        <v>256707.47799999994</v>
      </c>
      <c r="I11" s="17">
        <f t="shared" ref="I11:L11" si="2">I12*I31</f>
        <v>299911.34739999991</v>
      </c>
      <c r="J11" s="17">
        <f t="shared" si="2"/>
        <v>351823.50484049984</v>
      </c>
      <c r="K11" s="17">
        <f t="shared" si="2"/>
        <v>401905.5788632498</v>
      </c>
      <c r="L11" s="17">
        <f t="shared" si="2"/>
        <v>459010.92912855448</v>
      </c>
    </row>
    <row r="12" spans="1:13" ht="15.5" x14ac:dyDescent="0.35">
      <c r="D12" s="18" t="s">
        <v>3</v>
      </c>
      <c r="E12" s="19">
        <f>E10+E11</f>
        <v>211915</v>
      </c>
      <c r="F12" s="19">
        <f t="shared" ref="F12:G12" si="3">F10+F11</f>
        <v>245122</v>
      </c>
      <c r="G12" s="19">
        <f t="shared" si="3"/>
        <v>281724</v>
      </c>
      <c r="H12" s="20">
        <f>G12*(1+H29)</f>
        <v>326799.83999999997</v>
      </c>
      <c r="I12" s="20">
        <f t="shared" ref="I12:L12" si="4">H12*(1+I29)</f>
        <v>375819.81599999993</v>
      </c>
      <c r="J12" s="20">
        <f t="shared" si="4"/>
        <v>434071.88747999992</v>
      </c>
      <c r="K12" s="20">
        <f t="shared" si="4"/>
        <v>488330.87341499992</v>
      </c>
      <c r="L12" s="20">
        <f t="shared" si="4"/>
        <v>549372.2325918749</v>
      </c>
    </row>
    <row r="13" spans="1:13" ht="15.5" x14ac:dyDescent="0.35">
      <c r="D13" s="15" t="s">
        <v>4</v>
      </c>
      <c r="E13" s="16">
        <v>17804</v>
      </c>
      <c r="F13" s="16">
        <v>15272</v>
      </c>
      <c r="G13" s="16">
        <v>13501</v>
      </c>
      <c r="H13" s="17">
        <f>H10*H32</f>
        <v>14018.472399999999</v>
      </c>
      <c r="I13" s="17">
        <f t="shared" ref="I13:L13" si="5">I10*I32</f>
        <v>15181.693719999996</v>
      </c>
      <c r="J13" s="17">
        <f t="shared" si="5"/>
        <v>16449.676527899992</v>
      </c>
      <c r="K13" s="17">
        <f t="shared" si="5"/>
        <v>16420.805964832492</v>
      </c>
      <c r="L13" s="17">
        <f t="shared" si="5"/>
        <v>17168.647658030852</v>
      </c>
    </row>
    <row r="14" spans="1:13" ht="15.5" x14ac:dyDescent="0.35">
      <c r="D14" s="15" t="s">
        <v>5</v>
      </c>
      <c r="E14" s="16">
        <v>48059</v>
      </c>
      <c r="F14" s="16">
        <v>58842</v>
      </c>
      <c r="G14" s="16">
        <v>74330</v>
      </c>
      <c r="H14" s="17">
        <f>H11*H33</f>
        <v>89847.617299999969</v>
      </c>
      <c r="I14" s="17">
        <f t="shared" ref="I14:L14" si="6">I11*I33</f>
        <v>104968.97158999996</v>
      </c>
      <c r="J14" s="17">
        <f t="shared" si="6"/>
        <v>126656.46174257994</v>
      </c>
      <c r="K14" s="17">
        <f t="shared" si="6"/>
        <v>140666.95260213743</v>
      </c>
      <c r="L14" s="17">
        <f t="shared" si="6"/>
        <v>156063.71590370854</v>
      </c>
    </row>
    <row r="15" spans="1:13" ht="15.5" x14ac:dyDescent="0.35">
      <c r="D15" s="15" t="s">
        <v>6</v>
      </c>
      <c r="E15" s="16">
        <f>SUM(E13:E14)</f>
        <v>65863</v>
      </c>
      <c r="F15" s="16">
        <f t="shared" ref="F15:H15" si="7">SUM(F13:F14)</f>
        <v>74114</v>
      </c>
      <c r="G15" s="16">
        <f t="shared" si="7"/>
        <v>87831</v>
      </c>
      <c r="H15" s="17">
        <f t="shared" si="7"/>
        <v>103866.08969999997</v>
      </c>
      <c r="I15" s="17">
        <f t="shared" ref="I15" si="8">SUM(I13:I14)</f>
        <v>120150.66530999995</v>
      </c>
      <c r="J15" s="17">
        <f t="shared" ref="J15" si="9">SUM(J13:J14)</f>
        <v>143106.13827047992</v>
      </c>
      <c r="K15" s="17">
        <f t="shared" ref="K15" si="10">SUM(K13:K14)</f>
        <v>157087.75856696992</v>
      </c>
      <c r="L15" s="17">
        <f t="shared" ref="L15" si="11">SUM(L13:L14)</f>
        <v>173232.36356173939</v>
      </c>
    </row>
    <row r="16" spans="1:13" ht="15.5" x14ac:dyDescent="0.35">
      <c r="D16" s="18" t="s">
        <v>7</v>
      </c>
      <c r="E16" s="19">
        <f>E12-E15</f>
        <v>146052</v>
      </c>
      <c r="F16" s="19">
        <f t="shared" ref="F16:H16" si="12">F12-F15</f>
        <v>171008</v>
      </c>
      <c r="G16" s="19">
        <f t="shared" si="12"/>
        <v>193893</v>
      </c>
      <c r="H16" s="20">
        <f t="shared" si="12"/>
        <v>222933.75030000001</v>
      </c>
      <c r="I16" s="20">
        <f t="shared" ref="I16" si="13">I12-I15</f>
        <v>255669.15068999998</v>
      </c>
      <c r="J16" s="20">
        <f t="shared" ref="J16" si="14">J12-J15</f>
        <v>290965.74920952</v>
      </c>
      <c r="K16" s="20">
        <f t="shared" ref="K16" si="15">K12-K15</f>
        <v>331243.11484803003</v>
      </c>
      <c r="L16" s="20">
        <f t="shared" ref="L16" si="16">L12-L15</f>
        <v>376139.86903013551</v>
      </c>
    </row>
    <row r="17" spans="4:13" ht="15.5" x14ac:dyDescent="0.35">
      <c r="D17" s="15" t="s">
        <v>8</v>
      </c>
      <c r="E17" s="16">
        <v>27195</v>
      </c>
      <c r="F17" s="16">
        <v>29510</v>
      </c>
      <c r="G17" s="16">
        <v>32488</v>
      </c>
      <c r="H17" s="17">
        <f>H12*H34</f>
        <v>40849.979999999996</v>
      </c>
      <c r="I17" s="17">
        <f t="shared" ref="I17:L17" si="17">I12*I34</f>
        <v>46977.476999999992</v>
      </c>
      <c r="J17" s="17">
        <f t="shared" si="17"/>
        <v>54258.98593499999</v>
      </c>
      <c r="K17" s="17">
        <f t="shared" si="17"/>
        <v>58599.704809799987</v>
      </c>
      <c r="L17" s="17">
        <f t="shared" si="17"/>
        <v>65924.667911024982</v>
      </c>
    </row>
    <row r="18" spans="4:13" ht="15.5" x14ac:dyDescent="0.35">
      <c r="D18" s="15" t="s">
        <v>9</v>
      </c>
      <c r="E18" s="16">
        <v>22759</v>
      </c>
      <c r="F18" s="16">
        <v>24456</v>
      </c>
      <c r="G18" s="16">
        <v>25654</v>
      </c>
      <c r="H18" s="17">
        <f>H12*H35</f>
        <v>28451.440639999997</v>
      </c>
      <c r="I18" s="17">
        <f t="shared" ref="I18:L18" si="18">I12*I35</f>
        <v>31215.877471999993</v>
      </c>
      <c r="J18" s="17">
        <f t="shared" si="18"/>
        <v>34318.050930239988</v>
      </c>
      <c r="K18" s="17">
        <f t="shared" si="18"/>
        <v>36654.483802859984</v>
      </c>
      <c r="L18" s="17">
        <f t="shared" si="18"/>
        <v>39038.805347849986</v>
      </c>
    </row>
    <row r="19" spans="4:13" ht="15.5" x14ac:dyDescent="0.35">
      <c r="D19" s="15" t="s">
        <v>10</v>
      </c>
      <c r="E19" s="16">
        <v>7575</v>
      </c>
      <c r="F19" s="16">
        <v>7609</v>
      </c>
      <c r="G19" s="16">
        <v>7223</v>
      </c>
      <c r="H19" s="17">
        <f>H12*H36</f>
        <v>7725.08032</v>
      </c>
      <c r="I19" s="17">
        <f t="shared" ref="I19:L19" si="19">I12*I36</f>
        <v>8132.2027359999984</v>
      </c>
      <c r="J19" s="17">
        <f t="shared" si="19"/>
        <v>8524.5503851199974</v>
      </c>
      <c r="K19" s="17">
        <f t="shared" si="19"/>
        <v>8613.457436429997</v>
      </c>
      <c r="L19" s="17">
        <f t="shared" si="19"/>
        <v>8591.3951507999955</v>
      </c>
    </row>
    <row r="20" spans="4:13" ht="15.5" x14ac:dyDescent="0.35">
      <c r="D20" s="18" t="s">
        <v>11</v>
      </c>
      <c r="E20" s="19">
        <f>E16-SUM(E17:E19)</f>
        <v>88523</v>
      </c>
      <c r="F20" s="19">
        <f t="shared" ref="F20:G20" si="20">F16-SUM(F17:F19)</f>
        <v>109433</v>
      </c>
      <c r="G20" s="19">
        <f t="shared" si="20"/>
        <v>128528</v>
      </c>
      <c r="H20" s="20">
        <f t="shared" ref="H20" si="21">H16-SUM(H17:H19)</f>
        <v>145907.24934000004</v>
      </c>
      <c r="I20" s="20">
        <f t="shared" ref="I20" si="22">I16-SUM(I17:I19)</f>
        <v>169343.593482</v>
      </c>
      <c r="J20" s="20">
        <f t="shared" ref="J20" si="23">J16-SUM(J17:J19)</f>
        <v>193864.16195916003</v>
      </c>
      <c r="K20" s="20">
        <f t="shared" ref="K20" si="24">K16-SUM(K17:K19)</f>
        <v>227375.46879894007</v>
      </c>
      <c r="L20" s="20">
        <f t="shared" ref="L20" si="25">L16-SUM(L17:L19)</f>
        <v>262585.00062046055</v>
      </c>
    </row>
    <row r="21" spans="4:13" ht="15.5" x14ac:dyDescent="0.35">
      <c r="D21" s="15" t="s">
        <v>12</v>
      </c>
      <c r="E21" s="16">
        <v>788</v>
      </c>
      <c r="F21" s="16">
        <v>-1646</v>
      </c>
      <c r="G21" s="16">
        <v>-4901</v>
      </c>
      <c r="H21" s="17">
        <f>H46</f>
        <v>-6194.3600000000006</v>
      </c>
      <c r="I21" s="17">
        <f t="shared" ref="I21:L21" si="26">I46</f>
        <v>-6154.6100000000006</v>
      </c>
      <c r="J21" s="17">
        <f t="shared" si="26"/>
        <v>-6048.1</v>
      </c>
      <c r="K21" s="17">
        <f t="shared" si="26"/>
        <v>-5907.4</v>
      </c>
      <c r="L21" s="17">
        <f t="shared" si="26"/>
        <v>-5728.4</v>
      </c>
    </row>
    <row r="22" spans="4:13" ht="15.5" x14ac:dyDescent="0.35">
      <c r="D22" s="15" t="s">
        <v>13</v>
      </c>
      <c r="E22" s="16">
        <f>E20+E21</f>
        <v>89311</v>
      </c>
      <c r="F22" s="16">
        <f t="shared" ref="F22:G22" si="27">F20+F21</f>
        <v>107787</v>
      </c>
      <c r="G22" s="16">
        <f t="shared" si="27"/>
        <v>123627</v>
      </c>
      <c r="H22" s="17">
        <f t="shared" ref="H22" si="28">H20+H21</f>
        <v>139712.88934000005</v>
      </c>
      <c r="I22" s="17">
        <f t="shared" ref="I22" si="29">I20+I21</f>
        <v>163188.98348200001</v>
      </c>
      <c r="J22" s="17">
        <f t="shared" ref="J22" si="30">J20+J21</f>
        <v>187816.06195916003</v>
      </c>
      <c r="K22" s="17">
        <f t="shared" ref="K22" si="31">K20+K21</f>
        <v>221468.06879894008</v>
      </c>
      <c r="L22" s="17">
        <f t="shared" ref="L22" si="32">L20+L21</f>
        <v>256856.60062046055</v>
      </c>
    </row>
    <row r="23" spans="4:13" ht="15.5" x14ac:dyDescent="0.35">
      <c r="D23" s="15" t="s">
        <v>14</v>
      </c>
      <c r="E23" s="16">
        <v>16950</v>
      </c>
      <c r="F23" s="16">
        <v>19651</v>
      </c>
      <c r="G23" s="16">
        <v>21795</v>
      </c>
      <c r="H23" s="17">
        <f>H22*H37</f>
        <v>25539.516171352006</v>
      </c>
      <c r="I23" s="17">
        <f t="shared" ref="I23:L23" si="33">I22*I37</f>
        <v>29830.9461805096</v>
      </c>
      <c r="J23" s="17">
        <f t="shared" si="33"/>
        <v>34332.776126134449</v>
      </c>
      <c r="K23" s="17">
        <f t="shared" si="33"/>
        <v>40484.362976446246</v>
      </c>
      <c r="L23" s="17">
        <f t="shared" si="33"/>
        <v>46953.386593420189</v>
      </c>
    </row>
    <row r="24" spans="4:13" ht="15.5" x14ac:dyDescent="0.35">
      <c r="D24" s="18" t="s">
        <v>15</v>
      </c>
      <c r="E24" s="19">
        <f>E22-E23</f>
        <v>72361</v>
      </c>
      <c r="F24" s="19">
        <f t="shared" ref="F24:G24" si="34">F22-F23</f>
        <v>88136</v>
      </c>
      <c r="G24" s="19">
        <f t="shared" si="34"/>
        <v>101832</v>
      </c>
      <c r="H24" s="20">
        <f t="shared" ref="H24" si="35">H22-H23</f>
        <v>114173.37316864805</v>
      </c>
      <c r="I24" s="20">
        <f t="shared" ref="I24" si="36">I22-I23</f>
        <v>133358.0373014904</v>
      </c>
      <c r="J24" s="20">
        <f t="shared" ref="J24" si="37">J22-J23</f>
        <v>153483.28583302558</v>
      </c>
      <c r="K24" s="20">
        <f t="shared" ref="K24" si="38">K22-K23</f>
        <v>180983.70582249382</v>
      </c>
      <c r="L24" s="20">
        <f t="shared" ref="L24" si="39">L22-L23</f>
        <v>209903.21402704035</v>
      </c>
    </row>
    <row r="29" spans="4:13" ht="15.5" x14ac:dyDescent="0.35">
      <c r="D29" s="15" t="s">
        <v>16</v>
      </c>
      <c r="E29" s="21"/>
      <c r="F29" s="22">
        <f>(F12-E12)/E12</f>
        <v>0.15669962013071279</v>
      </c>
      <c r="G29" s="22">
        <f>(G12-F12)/F12</f>
        <v>0.14932156232406721</v>
      </c>
      <c r="H29" s="23">
        <f>'Sensitivity Analysis'!H9</f>
        <v>0.16</v>
      </c>
      <c r="I29" s="23">
        <f>'Sensitivity Analysis'!I9</f>
        <v>0.15</v>
      </c>
      <c r="J29" s="23">
        <f>'Sensitivity Analysis'!J9</f>
        <v>0.155</v>
      </c>
      <c r="K29" s="23">
        <f>'Sensitivity Analysis'!K9</f>
        <v>0.125</v>
      </c>
      <c r="L29" s="23">
        <f>'Sensitivity Analysis'!L9</f>
        <v>0.125</v>
      </c>
      <c r="M29" s="15" t="s">
        <v>19</v>
      </c>
    </row>
    <row r="30" spans="4:13" ht="15.5" x14ac:dyDescent="0.35">
      <c r="D30" s="15" t="s">
        <v>17</v>
      </c>
      <c r="E30" s="23">
        <f>E10/E12</f>
        <v>0.30530637283816625</v>
      </c>
      <c r="F30" s="23">
        <f t="shared" ref="F30:G30" si="40">F10/F12</f>
        <v>0.26424800711482443</v>
      </c>
      <c r="G30" s="23">
        <f t="shared" si="40"/>
        <v>0.2269810168817708</v>
      </c>
      <c r="H30" s="23">
        <f>G30-$M$30</f>
        <v>0.21448101688177079</v>
      </c>
      <c r="I30" s="23">
        <f t="shared" ref="I30:L30" si="41">H30-$M$30</f>
        <v>0.20198101688177078</v>
      </c>
      <c r="J30" s="23">
        <f t="shared" si="41"/>
        <v>0.18948101688177077</v>
      </c>
      <c r="K30" s="23">
        <f t="shared" si="41"/>
        <v>0.17698101688177076</v>
      </c>
      <c r="L30" s="23">
        <f t="shared" si="41"/>
        <v>0.16448101688177075</v>
      </c>
      <c r="M30" s="24">
        <v>1.2500000000000001E-2</v>
      </c>
    </row>
    <row r="31" spans="4:13" ht="15.5" x14ac:dyDescent="0.35">
      <c r="D31" s="15" t="s">
        <v>18</v>
      </c>
      <c r="E31" s="23">
        <f>E11/E12</f>
        <v>0.6946936271618338</v>
      </c>
      <c r="F31" s="23">
        <f t="shared" ref="F31:G31" si="42">F11/F12</f>
        <v>0.73575199288517557</v>
      </c>
      <c r="G31" s="23">
        <f t="shared" si="42"/>
        <v>0.77301898311822914</v>
      </c>
      <c r="H31" s="23">
        <f>G31+$M$31</f>
        <v>0.7855189831182291</v>
      </c>
      <c r="I31" s="23">
        <f t="shared" ref="I31:L31" si="43">H31+$M$31</f>
        <v>0.79801898311822905</v>
      </c>
      <c r="J31" s="23">
        <f t="shared" si="43"/>
        <v>0.81051898311822901</v>
      </c>
      <c r="K31" s="23">
        <f t="shared" si="43"/>
        <v>0.82301898311822896</v>
      </c>
      <c r="L31" s="23">
        <f t="shared" si="43"/>
        <v>0.83551898311822892</v>
      </c>
      <c r="M31" s="24">
        <v>1.2500000000000001E-2</v>
      </c>
    </row>
    <row r="32" spans="4:13" ht="15.5" x14ac:dyDescent="0.35">
      <c r="D32" s="15" t="s">
        <v>20</v>
      </c>
      <c r="E32" s="25">
        <f>E13/E10</f>
        <v>0.27518199663055071</v>
      </c>
      <c r="F32" s="25">
        <f t="shared" ref="F32:G32" si="44">F13/F10</f>
        <v>0.23577725286770723</v>
      </c>
      <c r="G32" s="25">
        <f t="shared" si="44"/>
        <v>0.21113126700653675</v>
      </c>
      <c r="H32" s="25">
        <v>0.2</v>
      </c>
      <c r="I32" s="25">
        <v>0.2</v>
      </c>
      <c r="J32" s="25">
        <v>0.2</v>
      </c>
      <c r="K32" s="25">
        <v>0.19</v>
      </c>
      <c r="L32" s="25">
        <v>0.19</v>
      </c>
      <c r="M32" s="15"/>
    </row>
    <row r="33" spans="4:13" ht="15.5" x14ac:dyDescent="0.35">
      <c r="D33" s="15" t="s">
        <v>21</v>
      </c>
      <c r="E33" s="25">
        <f>E14/E11</f>
        <v>0.3264522877948049</v>
      </c>
      <c r="F33" s="25">
        <f t="shared" ref="F33:G33" si="45">F14/F11</f>
        <v>0.32626740375605079</v>
      </c>
      <c r="G33" s="25">
        <f t="shared" si="45"/>
        <v>0.34131087621339162</v>
      </c>
      <c r="H33" s="25">
        <f>'Sensitivity Analysis'!H10</f>
        <v>0.35</v>
      </c>
      <c r="I33" s="25">
        <f>'Sensitivity Analysis'!I10</f>
        <v>0.35</v>
      </c>
      <c r="J33" s="25">
        <f>'Sensitivity Analysis'!J10</f>
        <v>0.36</v>
      </c>
      <c r="K33" s="25">
        <f>'Sensitivity Analysis'!K10</f>
        <v>0.35</v>
      </c>
      <c r="L33" s="25">
        <f>'Sensitivity Analysis'!L10</f>
        <v>0.34</v>
      </c>
      <c r="M33" s="15"/>
    </row>
    <row r="34" spans="4:13" ht="15.5" x14ac:dyDescent="0.35">
      <c r="D34" s="15" t="s">
        <v>22</v>
      </c>
      <c r="E34" s="23">
        <f>E17/E12</f>
        <v>0.12832975485454073</v>
      </c>
      <c r="F34" s="23">
        <f t="shared" ref="F34:G34" si="46">F17/F12</f>
        <v>0.12038903076835208</v>
      </c>
      <c r="G34" s="23">
        <f t="shared" si="46"/>
        <v>0.11531853871164686</v>
      </c>
      <c r="H34" s="23">
        <f>'Sensitivity Analysis'!H11</f>
        <v>0.125</v>
      </c>
      <c r="I34" s="23">
        <f>'Sensitivity Analysis'!I11</f>
        <v>0.125</v>
      </c>
      <c r="J34" s="23">
        <f>'Sensitivity Analysis'!J11</f>
        <v>0.125</v>
      </c>
      <c r="K34" s="23">
        <f>'Sensitivity Analysis'!K11</f>
        <v>0.12</v>
      </c>
      <c r="L34" s="23">
        <f>'Sensitivity Analysis'!L11</f>
        <v>0.12</v>
      </c>
      <c r="M34" s="15"/>
    </row>
    <row r="35" spans="4:13" ht="15.5" x14ac:dyDescent="0.35">
      <c r="D35" s="15" t="s">
        <v>23</v>
      </c>
      <c r="E35" s="23">
        <f>E18/E12</f>
        <v>0.10739683363612769</v>
      </c>
      <c r="F35" s="23">
        <f t="shared" ref="F35:G35" si="47">F18/F12</f>
        <v>9.9770726413785787E-2</v>
      </c>
      <c r="G35" s="23">
        <f t="shared" si="47"/>
        <v>9.1060754497309424E-2</v>
      </c>
      <c r="H35" s="23">
        <f>G35-$M$35</f>
        <v>8.706075449730942E-2</v>
      </c>
      <c r="I35" s="23">
        <f t="shared" ref="I35:L35" si="48">H35-$M$35</f>
        <v>8.3060754497309416E-2</v>
      </c>
      <c r="J35" s="23">
        <f t="shared" si="48"/>
        <v>7.9060754497309413E-2</v>
      </c>
      <c r="K35" s="23">
        <f t="shared" si="48"/>
        <v>7.5060754497309409E-2</v>
      </c>
      <c r="L35" s="23">
        <f t="shared" si="48"/>
        <v>7.1060754497309406E-2</v>
      </c>
      <c r="M35" s="26">
        <v>4.0000000000000001E-3</v>
      </c>
    </row>
    <row r="36" spans="4:13" ht="15.5" x14ac:dyDescent="0.35">
      <c r="D36" s="15" t="s">
        <v>24</v>
      </c>
      <c r="E36" s="23">
        <f>E19/E12</f>
        <v>3.5745463983200811E-2</v>
      </c>
      <c r="F36" s="23">
        <f t="shared" ref="F36:G36" si="49">F19/F12</f>
        <v>3.1041685364838735E-2</v>
      </c>
      <c r="G36" s="23">
        <f t="shared" si="49"/>
        <v>2.5638568244097059E-2</v>
      </c>
      <c r="H36" s="23">
        <f>G36-$M$36</f>
        <v>2.3638568244097061E-2</v>
      </c>
      <c r="I36" s="23">
        <f t="shared" ref="I36:L36" si="50">H36-$M$36</f>
        <v>2.1638568244097059E-2</v>
      </c>
      <c r="J36" s="23">
        <f t="shared" si="50"/>
        <v>1.9638568244097057E-2</v>
      </c>
      <c r="K36" s="23">
        <f t="shared" si="50"/>
        <v>1.7638568244097055E-2</v>
      </c>
      <c r="L36" s="23">
        <f t="shared" si="50"/>
        <v>1.5638568244097054E-2</v>
      </c>
      <c r="M36" s="26">
        <v>2E-3</v>
      </c>
    </row>
    <row r="37" spans="4:13" ht="15.5" x14ac:dyDescent="0.35">
      <c r="D37" s="15" t="s">
        <v>33</v>
      </c>
      <c r="E37" s="26">
        <f>E23/E22</f>
        <v>0.18978625253328257</v>
      </c>
      <c r="F37" s="26">
        <f t="shared" ref="F37:G37" si="51">F23/F22</f>
        <v>0.18231326597827197</v>
      </c>
      <c r="G37" s="26">
        <f t="shared" si="51"/>
        <v>0.17629644009803683</v>
      </c>
      <c r="H37" s="26">
        <f>'Sensitivity Analysis'!H12</f>
        <v>0.18279999999999999</v>
      </c>
      <c r="I37" s="26">
        <f>'Sensitivity Analysis'!I12</f>
        <v>0.18279999999999999</v>
      </c>
      <c r="J37" s="26">
        <f>'Sensitivity Analysis'!J12</f>
        <v>0.18279999999999999</v>
      </c>
      <c r="K37" s="26">
        <f>'Sensitivity Analysis'!K12</f>
        <v>0.18279999999999999</v>
      </c>
      <c r="L37" s="26">
        <f>'Sensitivity Analysis'!L12</f>
        <v>0.18279999999999999</v>
      </c>
      <c r="M37" s="15"/>
    </row>
    <row r="38" spans="4:13" ht="15.5" x14ac:dyDescent="0.35">
      <c r="D38" s="15"/>
      <c r="E38" s="25"/>
      <c r="F38" s="25"/>
      <c r="G38" s="25"/>
      <c r="H38" s="25"/>
      <c r="I38" s="25"/>
      <c r="J38" s="25"/>
      <c r="K38" s="25"/>
      <c r="L38" s="25"/>
      <c r="M38" s="15"/>
    </row>
    <row r="39" spans="4:13" ht="15.5" x14ac:dyDescent="0.35">
      <c r="D39" s="18" t="s">
        <v>25</v>
      </c>
      <c r="E39" s="25"/>
      <c r="F39" s="27">
        <v>45473</v>
      </c>
      <c r="G39" s="27">
        <f>EOMONTH(F39,12)</f>
        <v>45838</v>
      </c>
      <c r="H39" s="27">
        <f t="shared" ref="H39:L39" si="52">EOMONTH(G39,12)</f>
        <v>46203</v>
      </c>
      <c r="I39" s="27">
        <f t="shared" si="52"/>
        <v>46568</v>
      </c>
      <c r="J39" s="27">
        <f t="shared" si="52"/>
        <v>46934</v>
      </c>
      <c r="K39" s="27">
        <f t="shared" si="52"/>
        <v>47299</v>
      </c>
      <c r="L39" s="27">
        <f t="shared" si="52"/>
        <v>47664</v>
      </c>
      <c r="M39" s="15"/>
    </row>
    <row r="40" spans="4:13" ht="15.5" x14ac:dyDescent="0.35">
      <c r="D40" s="15" t="s">
        <v>26</v>
      </c>
      <c r="E40" s="25"/>
      <c r="F40" s="28">
        <v>3157</v>
      </c>
      <c r="G40" s="28">
        <v>2647</v>
      </c>
      <c r="H40" s="29">
        <v>1287</v>
      </c>
      <c r="I40" s="29">
        <v>1093</v>
      </c>
      <c r="J40" s="29">
        <v>1210</v>
      </c>
      <c r="K40" s="29">
        <v>1448</v>
      </c>
      <c r="L40" s="29">
        <v>1627</v>
      </c>
      <c r="M40" s="15"/>
    </row>
    <row r="41" spans="4:13" ht="15.5" x14ac:dyDescent="0.35">
      <c r="D41" s="15" t="s">
        <v>27</v>
      </c>
      <c r="E41" s="16"/>
      <c r="F41" s="16">
        <v>-2935</v>
      </c>
      <c r="G41" s="16">
        <v>-2385</v>
      </c>
      <c r="H41" s="17">
        <f>-H175</f>
        <v>-2318.36</v>
      </c>
      <c r="I41" s="17">
        <f t="shared" ref="I41:L41" si="53">-I175</f>
        <v>-2084.61</v>
      </c>
      <c r="J41" s="17">
        <f t="shared" si="53"/>
        <v>-2095.1</v>
      </c>
      <c r="K41" s="17">
        <f t="shared" si="53"/>
        <v>-2192.4</v>
      </c>
      <c r="L41" s="17">
        <f t="shared" si="53"/>
        <v>-2192.4</v>
      </c>
      <c r="M41" s="15"/>
    </row>
    <row r="42" spans="4:13" ht="15.5" x14ac:dyDescent="0.35">
      <c r="D42" s="15" t="s">
        <v>28</v>
      </c>
      <c r="E42" s="16"/>
      <c r="F42" s="16">
        <v>-118</v>
      </c>
      <c r="G42" s="16">
        <v>-349</v>
      </c>
      <c r="H42" s="17">
        <v>-349</v>
      </c>
      <c r="I42" s="17">
        <v>-349</v>
      </c>
      <c r="J42" s="17">
        <v>-349</v>
      </c>
      <c r="K42" s="17">
        <v>-349</v>
      </c>
      <c r="L42" s="17">
        <v>-349</v>
      </c>
      <c r="M42" s="15"/>
    </row>
    <row r="43" spans="4:13" ht="15.5" x14ac:dyDescent="0.35">
      <c r="D43" s="15" t="s">
        <v>29</v>
      </c>
      <c r="E43" s="16"/>
      <c r="F43" s="16">
        <v>-187</v>
      </c>
      <c r="G43" s="16">
        <v>-260</v>
      </c>
      <c r="H43" s="17">
        <v>-260</v>
      </c>
      <c r="I43" s="17">
        <v>-260</v>
      </c>
      <c r="J43" s="17">
        <v>-260</v>
      </c>
      <c r="K43" s="17">
        <v>-260</v>
      </c>
      <c r="L43" s="17">
        <v>-260</v>
      </c>
      <c r="M43" s="15"/>
    </row>
    <row r="44" spans="4:13" ht="15.5" x14ac:dyDescent="0.35">
      <c r="D44" s="15" t="s">
        <v>30</v>
      </c>
      <c r="E44" s="16"/>
      <c r="F44" s="16">
        <v>-244</v>
      </c>
      <c r="G44" s="16">
        <v>171</v>
      </c>
      <c r="H44" s="17">
        <v>171</v>
      </c>
      <c r="I44" s="17">
        <v>171</v>
      </c>
      <c r="J44" s="17">
        <v>171</v>
      </c>
      <c r="K44" s="17">
        <v>171</v>
      </c>
      <c r="L44" s="17">
        <v>171</v>
      </c>
      <c r="M44" s="15"/>
    </row>
    <row r="45" spans="4:13" ht="15.5" x14ac:dyDescent="0.35">
      <c r="D45" s="15" t="s">
        <v>31</v>
      </c>
      <c r="E45" s="16"/>
      <c r="F45" s="16">
        <v>-1319</v>
      </c>
      <c r="G45" s="16">
        <v>-4725</v>
      </c>
      <c r="H45" s="17">
        <v>-4725</v>
      </c>
      <c r="I45" s="17">
        <v>-4725</v>
      </c>
      <c r="J45" s="17">
        <v>-4725</v>
      </c>
      <c r="K45" s="17">
        <v>-4725</v>
      </c>
      <c r="L45" s="17">
        <v>-4725</v>
      </c>
      <c r="M45" s="15"/>
    </row>
    <row r="46" spans="4:13" ht="15.5" x14ac:dyDescent="0.35">
      <c r="D46" s="18" t="s">
        <v>32</v>
      </c>
      <c r="E46" s="16"/>
      <c r="F46" s="16">
        <f>SUM(F40:F45)</f>
        <v>-1646</v>
      </c>
      <c r="G46" s="16">
        <f t="shared" ref="G46:L46" si="54">SUM(G40:G45)</f>
        <v>-4901</v>
      </c>
      <c r="H46" s="17">
        <f t="shared" si="54"/>
        <v>-6194.3600000000006</v>
      </c>
      <c r="I46" s="17">
        <f t="shared" si="54"/>
        <v>-6154.6100000000006</v>
      </c>
      <c r="J46" s="17">
        <f t="shared" si="54"/>
        <v>-6048.1</v>
      </c>
      <c r="K46" s="17">
        <f t="shared" si="54"/>
        <v>-5907.4</v>
      </c>
      <c r="L46" s="17">
        <f t="shared" si="54"/>
        <v>-5728.4</v>
      </c>
      <c r="M46" s="15"/>
    </row>
    <row r="47" spans="4:13" ht="15.5" x14ac:dyDescent="0.35">
      <c r="D47" s="15"/>
      <c r="E47" s="16"/>
      <c r="F47" s="16"/>
      <c r="G47" s="16"/>
      <c r="H47" s="16"/>
      <c r="I47" s="16"/>
      <c r="J47" s="16"/>
      <c r="K47" s="16"/>
      <c r="L47" s="16"/>
      <c r="M47" s="15"/>
    </row>
    <row r="52" spans="3:13" ht="18.5" x14ac:dyDescent="0.45">
      <c r="D52" s="38" t="s">
        <v>34</v>
      </c>
      <c r="E52" s="39">
        <v>45107</v>
      </c>
      <c r="F52" s="39">
        <f>EOMONTH(E52,12)</f>
        <v>45473</v>
      </c>
      <c r="G52" s="39">
        <f t="shared" ref="G52:L52" si="55">EOMONTH(F52,12)</f>
        <v>45838</v>
      </c>
      <c r="H52" s="39">
        <f t="shared" si="55"/>
        <v>46203</v>
      </c>
      <c r="I52" s="39">
        <f t="shared" si="55"/>
        <v>46568</v>
      </c>
      <c r="J52" s="39">
        <f t="shared" si="55"/>
        <v>46934</v>
      </c>
      <c r="K52" s="39">
        <f t="shared" si="55"/>
        <v>47299</v>
      </c>
      <c r="L52" s="39">
        <f t="shared" si="55"/>
        <v>47664</v>
      </c>
    </row>
    <row r="54" spans="3:13" ht="15.5" x14ac:dyDescent="0.35">
      <c r="D54" s="15" t="s">
        <v>35</v>
      </c>
      <c r="E54" s="16"/>
      <c r="F54" s="16">
        <v>18315</v>
      </c>
      <c r="G54" s="16">
        <v>30242</v>
      </c>
      <c r="H54" s="17">
        <f>G54+H126</f>
        <v>39717.876440319174</v>
      </c>
      <c r="I54" s="17">
        <f t="shared" ref="I54:L54" si="56">H54+I126</f>
        <v>37282.521929607406</v>
      </c>
      <c r="J54" s="17">
        <f t="shared" si="56"/>
        <v>49757.06963481853</v>
      </c>
      <c r="K54" s="17">
        <f t="shared" si="56"/>
        <v>60923.562074316898</v>
      </c>
      <c r="L54" s="17">
        <f t="shared" si="56"/>
        <v>70440.069339147914</v>
      </c>
    </row>
    <row r="55" spans="3:13" ht="15.5" x14ac:dyDescent="0.35">
      <c r="C55" t="s">
        <v>84</v>
      </c>
      <c r="D55" s="15" t="s">
        <v>36</v>
      </c>
      <c r="E55" s="16"/>
      <c r="F55" s="16">
        <v>57228</v>
      </c>
      <c r="G55" s="16">
        <v>64323</v>
      </c>
      <c r="H55" s="17">
        <v>64323</v>
      </c>
      <c r="I55" s="17">
        <v>64323</v>
      </c>
      <c r="J55" s="17">
        <v>64323</v>
      </c>
      <c r="K55" s="17">
        <v>64323</v>
      </c>
      <c r="L55" s="17">
        <v>64323</v>
      </c>
    </row>
    <row r="56" spans="3:13" ht="15.5" x14ac:dyDescent="0.35">
      <c r="D56" s="15" t="s">
        <v>37</v>
      </c>
      <c r="E56" s="16"/>
      <c r="F56" s="16">
        <v>56924</v>
      </c>
      <c r="G56" s="16">
        <v>69905</v>
      </c>
      <c r="H56" s="17">
        <f>H91*H12/365</f>
        <v>78490.808755966413</v>
      </c>
      <c r="I56" s="17">
        <f t="shared" ref="I56:L56" si="57">I91*I12/365</f>
        <v>90264.430069361362</v>
      </c>
      <c r="J56" s="17">
        <f t="shared" si="57"/>
        <v>104255.41673011237</v>
      </c>
      <c r="K56" s="17">
        <f t="shared" si="57"/>
        <v>117287.34382137642</v>
      </c>
      <c r="L56" s="17">
        <f t="shared" si="57"/>
        <v>131948.26179904849</v>
      </c>
    </row>
    <row r="57" spans="3:13" ht="15.5" x14ac:dyDescent="0.35">
      <c r="D57" s="15" t="s">
        <v>38</v>
      </c>
      <c r="E57" s="16"/>
      <c r="F57" s="16">
        <v>1246</v>
      </c>
      <c r="G57" s="16">
        <v>938</v>
      </c>
      <c r="H57" s="17">
        <f>G57*(1+H29)</f>
        <v>1088.08</v>
      </c>
      <c r="I57" s="17">
        <f t="shared" ref="I57:L57" si="58">H57*(1+I29)</f>
        <v>1251.2919999999999</v>
      </c>
      <c r="J57" s="17">
        <f t="shared" si="58"/>
        <v>1445.24226</v>
      </c>
      <c r="K57" s="17">
        <f t="shared" si="58"/>
        <v>1625.8975424999999</v>
      </c>
      <c r="L57" s="17">
        <f t="shared" si="58"/>
        <v>1829.1347353124997</v>
      </c>
      <c r="M57" s="34" t="s">
        <v>134</v>
      </c>
    </row>
    <row r="58" spans="3:13" ht="15.5" x14ac:dyDescent="0.35">
      <c r="D58" s="15" t="s">
        <v>39</v>
      </c>
      <c r="E58" s="16"/>
      <c r="F58" s="16">
        <v>26021</v>
      </c>
      <c r="G58" s="16">
        <v>25723</v>
      </c>
      <c r="H58" s="17">
        <v>25723</v>
      </c>
      <c r="I58" s="17">
        <v>25723</v>
      </c>
      <c r="J58" s="17">
        <v>25723</v>
      </c>
      <c r="K58" s="17">
        <v>25723</v>
      </c>
      <c r="L58" s="17">
        <v>25723</v>
      </c>
      <c r="M58" s="34" t="s">
        <v>135</v>
      </c>
    </row>
    <row r="59" spans="3:13" ht="15.5" x14ac:dyDescent="0.35">
      <c r="D59" s="15" t="s">
        <v>45</v>
      </c>
      <c r="E59" s="16"/>
      <c r="F59" s="16">
        <v>135591</v>
      </c>
      <c r="G59" s="16">
        <v>204966</v>
      </c>
      <c r="H59" s="17">
        <f>H155</f>
        <v>256277.45759061794</v>
      </c>
      <c r="I59" s="17">
        <f t="shared" ref="I59:L59" si="59">I155</f>
        <v>316210.82984244608</v>
      </c>
      <c r="J59" s="17">
        <f t="shared" si="59"/>
        <v>380261.83128575154</v>
      </c>
      <c r="K59" s="17">
        <f t="shared" si="59"/>
        <v>449979.39568433701</v>
      </c>
      <c r="L59" s="17">
        <f t="shared" si="59"/>
        <v>530837.17663702124</v>
      </c>
      <c r="M59" s="34" t="s">
        <v>105</v>
      </c>
    </row>
    <row r="60" spans="3:13" ht="15.5" x14ac:dyDescent="0.35">
      <c r="D60" s="15" t="s">
        <v>40</v>
      </c>
      <c r="E60" s="16"/>
      <c r="F60" s="16">
        <v>18961</v>
      </c>
      <c r="G60" s="16">
        <v>24823</v>
      </c>
      <c r="H60" s="17">
        <f>G60*(1+H29)</f>
        <v>28794.679999999997</v>
      </c>
      <c r="I60" s="17">
        <f t="shared" ref="I60:L60" si="60">H60*(1+I29)</f>
        <v>33113.881999999991</v>
      </c>
      <c r="J60" s="17">
        <f t="shared" si="60"/>
        <v>38246.533709999989</v>
      </c>
      <c r="K60" s="17">
        <f t="shared" si="60"/>
        <v>43027.350423749987</v>
      </c>
      <c r="L60" s="17">
        <f t="shared" si="60"/>
        <v>48405.769226718738</v>
      </c>
      <c r="M60" s="34" t="s">
        <v>134</v>
      </c>
    </row>
    <row r="61" spans="3:13" ht="15.5" x14ac:dyDescent="0.35">
      <c r="D61" s="15" t="s">
        <v>41</v>
      </c>
      <c r="E61" s="16"/>
      <c r="F61" s="16">
        <v>14600</v>
      </c>
      <c r="G61" s="16">
        <v>15405</v>
      </c>
      <c r="H61" s="17">
        <f>AVERAGE($F$61:$G$61)</f>
        <v>15002.5</v>
      </c>
      <c r="I61" s="17">
        <f t="shared" ref="I61:L61" si="61">AVERAGE($F$61:$G$61)</f>
        <v>15002.5</v>
      </c>
      <c r="J61" s="17">
        <f t="shared" si="61"/>
        <v>15002.5</v>
      </c>
      <c r="K61" s="17">
        <f t="shared" si="61"/>
        <v>15002.5</v>
      </c>
      <c r="L61" s="17">
        <f t="shared" si="61"/>
        <v>15002.5</v>
      </c>
      <c r="M61" s="34" t="s">
        <v>136</v>
      </c>
    </row>
    <row r="62" spans="3:13" ht="15.5" x14ac:dyDescent="0.35">
      <c r="C62" t="s">
        <v>84</v>
      </c>
      <c r="D62" s="15" t="s">
        <v>42</v>
      </c>
      <c r="E62" s="16"/>
      <c r="F62" s="16">
        <v>119220</v>
      </c>
      <c r="G62" s="16">
        <v>119509</v>
      </c>
      <c r="H62" s="17">
        <v>119509</v>
      </c>
      <c r="I62" s="17">
        <v>119509</v>
      </c>
      <c r="J62" s="17">
        <v>119509</v>
      </c>
      <c r="K62" s="17">
        <v>119509</v>
      </c>
      <c r="L62" s="17">
        <v>119509</v>
      </c>
      <c r="M62" s="34" t="s">
        <v>135</v>
      </c>
    </row>
    <row r="63" spans="3:13" ht="15.5" x14ac:dyDescent="0.35">
      <c r="C63" t="s">
        <v>84</v>
      </c>
      <c r="D63" s="15" t="s">
        <v>43</v>
      </c>
      <c r="E63" s="16"/>
      <c r="F63" s="16">
        <v>27597</v>
      </c>
      <c r="G63" s="16">
        <v>22604</v>
      </c>
      <c r="H63" s="17">
        <v>22604</v>
      </c>
      <c r="I63" s="17">
        <v>22604</v>
      </c>
      <c r="J63" s="17">
        <v>22604</v>
      </c>
      <c r="K63" s="17">
        <v>22604</v>
      </c>
      <c r="L63" s="17">
        <v>22604</v>
      </c>
      <c r="M63" s="34" t="s">
        <v>135</v>
      </c>
    </row>
    <row r="64" spans="3:13" ht="15.5" x14ac:dyDescent="0.35">
      <c r="D64" s="15" t="s">
        <v>44</v>
      </c>
      <c r="E64" s="16"/>
      <c r="F64" s="16">
        <v>36460</v>
      </c>
      <c r="G64" s="16">
        <v>40565</v>
      </c>
      <c r="H64" s="17">
        <f>G64*(1+H29)</f>
        <v>47055.399999999994</v>
      </c>
      <c r="I64" s="17">
        <f t="shared" ref="I64:L64" si="62">H64*(1+I29)</f>
        <v>54113.709999999992</v>
      </c>
      <c r="J64" s="17">
        <f t="shared" si="62"/>
        <v>62501.335049999994</v>
      </c>
      <c r="K64" s="17">
        <f t="shared" si="62"/>
        <v>70314.001931249994</v>
      </c>
      <c r="L64" s="17">
        <f t="shared" si="62"/>
        <v>79103.252172656241</v>
      </c>
      <c r="M64" s="34" t="s">
        <v>134</v>
      </c>
    </row>
    <row r="65" spans="3:13" ht="15.5" x14ac:dyDescent="0.35">
      <c r="D65" s="18" t="s">
        <v>46</v>
      </c>
      <c r="E65" s="16"/>
      <c r="F65" s="19">
        <f>SUM(F54:F64)</f>
        <v>512163</v>
      </c>
      <c r="G65" s="19">
        <f>SUM(G54:G64)</f>
        <v>619003</v>
      </c>
      <c r="H65" s="20">
        <f>SUM(H54:H64)</f>
        <v>698585.80278690357</v>
      </c>
      <c r="I65" s="20">
        <f t="shared" ref="I65:L65" si="63">SUM(I54:I64)</f>
        <v>779398.16584141483</v>
      </c>
      <c r="J65" s="20">
        <f t="shared" si="63"/>
        <v>883628.92867068248</v>
      </c>
      <c r="K65" s="20">
        <f t="shared" si="63"/>
        <v>990319.05147753027</v>
      </c>
      <c r="L65" s="20">
        <f t="shared" si="63"/>
        <v>1109725.1639099051</v>
      </c>
    </row>
    <row r="68" spans="3:13" ht="15.5" x14ac:dyDescent="0.35">
      <c r="D68" s="15" t="s">
        <v>47</v>
      </c>
      <c r="E68" s="16"/>
      <c r="F68" s="16">
        <v>21996</v>
      </c>
      <c r="G68" s="16">
        <v>27724</v>
      </c>
      <c r="H68" s="17">
        <f>H15*H92/365</f>
        <v>31805.753582130081</v>
      </c>
      <c r="I68" s="17">
        <f t="shared" ref="I68:L68" si="64">I15*I92/365</f>
        <v>36792.397447680603</v>
      </c>
      <c r="J68" s="17">
        <f t="shared" si="64"/>
        <v>43821.795766719049</v>
      </c>
      <c r="K68" s="17">
        <f t="shared" si="64"/>
        <v>48103.231325846187</v>
      </c>
      <c r="L68" s="17">
        <f t="shared" si="64"/>
        <v>53047.013551860466</v>
      </c>
    </row>
    <row r="69" spans="3:13" ht="15.5" x14ac:dyDescent="0.35">
      <c r="D69" s="15" t="s">
        <v>48</v>
      </c>
      <c r="E69" s="16"/>
      <c r="F69" s="16">
        <v>6693</v>
      </c>
      <c r="G69" s="16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</row>
    <row r="70" spans="3:13" ht="15.5" x14ac:dyDescent="0.35">
      <c r="D70" s="15" t="s">
        <v>49</v>
      </c>
      <c r="E70" s="16"/>
      <c r="F70" s="16">
        <v>2249</v>
      </c>
      <c r="G70" s="16">
        <v>2999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</row>
    <row r="71" spans="3:13" ht="15.5" x14ac:dyDescent="0.35">
      <c r="D71" s="15" t="s">
        <v>50</v>
      </c>
      <c r="E71" s="16"/>
      <c r="F71" s="16">
        <v>12564</v>
      </c>
      <c r="G71" s="16">
        <v>13709</v>
      </c>
      <c r="H71" s="17">
        <f>G71*(1+H29)</f>
        <v>15902.439999999999</v>
      </c>
      <c r="I71" s="17">
        <f t="shared" ref="I71:L71" si="65">H71*(1+I29)</f>
        <v>18287.805999999997</v>
      </c>
      <c r="J71" s="17">
        <f t="shared" si="65"/>
        <v>21122.415929999996</v>
      </c>
      <c r="K71" s="17">
        <f t="shared" si="65"/>
        <v>23762.717921249994</v>
      </c>
      <c r="L71" s="17">
        <f t="shared" si="65"/>
        <v>26733.057661406245</v>
      </c>
      <c r="M71" s="34" t="s">
        <v>134</v>
      </c>
    </row>
    <row r="72" spans="3:13" ht="15.5" x14ac:dyDescent="0.35">
      <c r="D72" s="15" t="s">
        <v>51</v>
      </c>
      <c r="E72" s="16"/>
      <c r="F72" s="16">
        <v>5017</v>
      </c>
      <c r="G72" s="16">
        <v>7211</v>
      </c>
      <c r="H72" s="17">
        <f>H23*H93</f>
        <v>7485.1312881702961</v>
      </c>
      <c r="I72" s="17">
        <f t="shared" ref="I72:L72" si="66">I23*I93</f>
        <v>8742.8652568572197</v>
      </c>
      <c r="J72" s="17">
        <f t="shared" si="66"/>
        <v>10062.263320388927</v>
      </c>
      <c r="K72" s="17">
        <f t="shared" si="66"/>
        <v>11865.172776317286</v>
      </c>
      <c r="L72" s="17">
        <f t="shared" si="66"/>
        <v>13761.116722727644</v>
      </c>
    </row>
    <row r="73" spans="3:13" ht="15.5" x14ac:dyDescent="0.35">
      <c r="D73" s="15" t="s">
        <v>52</v>
      </c>
      <c r="E73" s="16"/>
      <c r="F73" s="16">
        <v>57582</v>
      </c>
      <c r="G73" s="16">
        <v>64555</v>
      </c>
      <c r="H73" s="17">
        <f>H12*H94</f>
        <v>75826.435837011755</v>
      </c>
      <c r="I73" s="17">
        <f t="shared" ref="I73:L73" si="67">I12*I94</f>
        <v>87200.40121256352</v>
      </c>
      <c r="J73" s="17">
        <f t="shared" si="67"/>
        <v>100716.46340051087</v>
      </c>
      <c r="K73" s="17">
        <f t="shared" si="67"/>
        <v>113306.02132557472</v>
      </c>
      <c r="L73" s="17">
        <f t="shared" si="67"/>
        <v>127469.27399127156</v>
      </c>
    </row>
    <row r="74" spans="3:13" ht="15.5" x14ac:dyDescent="0.35">
      <c r="D74" s="15" t="s">
        <v>53</v>
      </c>
      <c r="E74" s="16"/>
      <c r="F74" s="16">
        <v>19185</v>
      </c>
      <c r="G74" s="16">
        <v>25020</v>
      </c>
      <c r="H74" s="17">
        <f>G74*(1+H29)</f>
        <v>29023.199999999997</v>
      </c>
      <c r="I74" s="17">
        <f t="shared" ref="I74:L74" si="68">H74*(1+I29)</f>
        <v>33376.679999999993</v>
      </c>
      <c r="J74" s="17">
        <f t="shared" si="68"/>
        <v>38550.065399999992</v>
      </c>
      <c r="K74" s="17">
        <f t="shared" si="68"/>
        <v>43368.823574999988</v>
      </c>
      <c r="L74" s="17">
        <f t="shared" si="68"/>
        <v>48789.926521874986</v>
      </c>
      <c r="M74" t="s">
        <v>134</v>
      </c>
    </row>
    <row r="75" spans="3:13" ht="15.5" x14ac:dyDescent="0.35">
      <c r="D75" s="15" t="s">
        <v>54</v>
      </c>
      <c r="E75" s="16"/>
      <c r="F75" s="16">
        <v>42688</v>
      </c>
      <c r="G75" s="16">
        <v>40152</v>
      </c>
      <c r="H75" s="17">
        <f>H169</f>
        <v>42152</v>
      </c>
      <c r="I75" s="17">
        <f t="shared" ref="I75:L75" si="69">I169</f>
        <v>37902</v>
      </c>
      <c r="J75" s="17">
        <f t="shared" si="69"/>
        <v>41902</v>
      </c>
      <c r="K75" s="17">
        <f t="shared" si="69"/>
        <v>43848</v>
      </c>
      <c r="L75" s="17">
        <f t="shared" si="69"/>
        <v>43848</v>
      </c>
    </row>
    <row r="76" spans="3:13" ht="15.5" x14ac:dyDescent="0.35">
      <c r="C76" t="s">
        <v>84</v>
      </c>
      <c r="D76" s="15" t="s">
        <v>55</v>
      </c>
      <c r="E76" s="16"/>
      <c r="F76" s="16">
        <v>27931</v>
      </c>
      <c r="G76" s="16">
        <v>25986</v>
      </c>
      <c r="H76" s="17">
        <v>25986</v>
      </c>
      <c r="I76" s="17">
        <v>25986</v>
      </c>
      <c r="J76" s="17">
        <v>25986</v>
      </c>
      <c r="K76" s="17">
        <v>25986</v>
      </c>
      <c r="L76" s="17">
        <v>25986</v>
      </c>
    </row>
    <row r="77" spans="3:13" ht="15.5" x14ac:dyDescent="0.35">
      <c r="D77" s="15" t="s">
        <v>56</v>
      </c>
      <c r="E77" s="16"/>
      <c r="F77" s="16">
        <v>2602</v>
      </c>
      <c r="G77" s="16">
        <v>2710</v>
      </c>
      <c r="H77" s="17">
        <f>H12*H95</f>
        <v>3306.3101289969891</v>
      </c>
      <c r="I77" s="17">
        <f t="shared" ref="I77:L77" si="70">I12*I95</f>
        <v>3802.2566483465371</v>
      </c>
      <c r="J77" s="17">
        <f t="shared" si="70"/>
        <v>4391.6064288402504</v>
      </c>
      <c r="K77" s="17">
        <f t="shared" si="70"/>
        <v>4940.5572324452814</v>
      </c>
      <c r="L77" s="17">
        <f t="shared" si="70"/>
        <v>5558.1268865009415</v>
      </c>
    </row>
    <row r="78" spans="3:13" ht="15.5" x14ac:dyDescent="0.35">
      <c r="C78" t="s">
        <v>84</v>
      </c>
      <c r="D78" s="15" t="s">
        <v>57</v>
      </c>
      <c r="E78" s="16"/>
      <c r="F78" s="16">
        <v>2618</v>
      </c>
      <c r="G78" s="16">
        <v>2835</v>
      </c>
      <c r="H78" s="17">
        <v>2835</v>
      </c>
      <c r="I78" s="17">
        <v>2835</v>
      </c>
      <c r="J78" s="17">
        <v>2835</v>
      </c>
      <c r="K78" s="17">
        <v>2835</v>
      </c>
      <c r="L78" s="17">
        <v>2835</v>
      </c>
    </row>
    <row r="79" spans="3:13" ht="15.5" x14ac:dyDescent="0.35">
      <c r="D79" s="15" t="s">
        <v>58</v>
      </c>
      <c r="E79" s="16"/>
      <c r="F79" s="16">
        <v>15497</v>
      </c>
      <c r="G79" s="16">
        <v>17437</v>
      </c>
      <c r="H79" s="17">
        <f>G79*(1+H29)</f>
        <v>20226.919999999998</v>
      </c>
      <c r="I79" s="17">
        <f t="shared" ref="I79:L79" si="71">H79*(1+I29)</f>
        <v>23260.957999999995</v>
      </c>
      <c r="J79" s="17">
        <f t="shared" si="71"/>
        <v>26866.406489999994</v>
      </c>
      <c r="K79" s="17">
        <f t="shared" si="71"/>
        <v>30224.707301249993</v>
      </c>
      <c r="L79" s="17">
        <f t="shared" si="71"/>
        <v>34002.795713906242</v>
      </c>
      <c r="M79" t="s">
        <v>134</v>
      </c>
    </row>
    <row r="80" spans="3:13" ht="15.5" x14ac:dyDescent="0.35">
      <c r="D80" s="15" t="s">
        <v>59</v>
      </c>
      <c r="E80" s="16"/>
      <c r="F80" s="16">
        <v>27064</v>
      </c>
      <c r="G80" s="16">
        <v>45186</v>
      </c>
      <c r="H80" s="17">
        <f>G80*(1+H29)</f>
        <v>52415.759999999995</v>
      </c>
      <c r="I80" s="17">
        <f t="shared" ref="I80:L80" si="72">H80*(1+I29)</f>
        <v>60278.123999999989</v>
      </c>
      <c r="J80" s="17">
        <f t="shared" si="72"/>
        <v>69621.233219999995</v>
      </c>
      <c r="K80" s="17">
        <f t="shared" si="72"/>
        <v>78323.887372500001</v>
      </c>
      <c r="L80" s="17">
        <f t="shared" si="72"/>
        <v>88114.373294062505</v>
      </c>
      <c r="M80" t="s">
        <v>134</v>
      </c>
    </row>
    <row r="81" spans="4:12" ht="15.5" x14ac:dyDescent="0.35">
      <c r="D81" s="18" t="s">
        <v>60</v>
      </c>
      <c r="E81" s="16"/>
      <c r="F81" s="19">
        <f>SUM(F68:F80)</f>
        <v>243686</v>
      </c>
      <c r="G81" s="19">
        <f>SUM(G68:G80)</f>
        <v>275524</v>
      </c>
      <c r="H81" s="20">
        <f t="shared" ref="H81:L81" si="73">SUM(H68:H80)</f>
        <v>306964.95083630912</v>
      </c>
      <c r="I81" s="20">
        <f t="shared" si="73"/>
        <v>338464.48856544791</v>
      </c>
      <c r="J81" s="20">
        <f t="shared" si="73"/>
        <v>385875.2499564591</v>
      </c>
      <c r="K81" s="20">
        <f t="shared" si="73"/>
        <v>426564.11883018352</v>
      </c>
      <c r="L81" s="20">
        <f t="shared" si="73"/>
        <v>470144.68434361054</v>
      </c>
    </row>
    <row r="82" spans="4:12" ht="15.5" x14ac:dyDescent="0.35">
      <c r="D82" s="15"/>
      <c r="E82" s="16"/>
      <c r="F82" s="16"/>
      <c r="G82" s="16"/>
      <c r="H82" s="16"/>
      <c r="I82" s="16"/>
      <c r="J82" s="16"/>
      <c r="K82" s="16"/>
      <c r="L82" s="16"/>
    </row>
    <row r="83" spans="4:12" ht="15.5" x14ac:dyDescent="0.35">
      <c r="D83" s="15" t="s">
        <v>61</v>
      </c>
      <c r="E83" s="16"/>
      <c r="F83" s="16">
        <v>100923</v>
      </c>
      <c r="G83" s="16">
        <v>109095</v>
      </c>
      <c r="H83" s="17">
        <f>H193</f>
        <v>122984.84</v>
      </c>
      <c r="I83" s="17">
        <f t="shared" ref="I83:L83" si="74">I193</f>
        <v>138958.15599999999</v>
      </c>
      <c r="J83" s="17">
        <f t="shared" si="74"/>
        <v>157407.33597999997</v>
      </c>
      <c r="K83" s="17">
        <f t="shared" si="74"/>
        <v>178162.66345749996</v>
      </c>
      <c r="L83" s="17">
        <f t="shared" si="74"/>
        <v>201512.40686968746</v>
      </c>
    </row>
    <row r="84" spans="4:12" ht="15.5" x14ac:dyDescent="0.35">
      <c r="D84" s="15" t="s">
        <v>62</v>
      </c>
      <c r="E84" s="16"/>
      <c r="F84" s="16">
        <v>173144</v>
      </c>
      <c r="G84" s="16">
        <v>237731</v>
      </c>
      <c r="H84" s="17">
        <f>H187</f>
        <v>271983.01195059437</v>
      </c>
      <c r="I84" s="17">
        <f t="shared" ref="I84:L84" si="75">I187</f>
        <v>305322.52127596701</v>
      </c>
      <c r="J84" s="17">
        <f t="shared" si="75"/>
        <v>343693.34273422341</v>
      </c>
      <c r="K84" s="17">
        <f t="shared" si="75"/>
        <v>388939.26918984688</v>
      </c>
      <c r="L84" s="17">
        <f t="shared" si="75"/>
        <v>441415.07269660698</v>
      </c>
    </row>
    <row r="85" spans="4:12" ht="15.5" x14ac:dyDescent="0.35">
      <c r="D85" s="15" t="s">
        <v>63</v>
      </c>
      <c r="E85" s="16"/>
      <c r="F85" s="16">
        <v>-5590</v>
      </c>
      <c r="G85" s="16">
        <v>-3347</v>
      </c>
      <c r="H85" s="17">
        <v>-3347</v>
      </c>
      <c r="I85" s="17">
        <v>-3347</v>
      </c>
      <c r="J85" s="17">
        <v>-3347</v>
      </c>
      <c r="K85" s="17">
        <v>-3347</v>
      </c>
      <c r="L85" s="17">
        <v>-3347</v>
      </c>
    </row>
    <row r="86" spans="4:12" ht="15.5" x14ac:dyDescent="0.35">
      <c r="D86" s="18" t="s">
        <v>64</v>
      </c>
      <c r="E86" s="16"/>
      <c r="F86" s="19">
        <f>SUM(F83:F85)</f>
        <v>268477</v>
      </c>
      <c r="G86" s="19">
        <f>SUM(G83:G85)</f>
        <v>343479</v>
      </c>
      <c r="H86" s="20">
        <f t="shared" ref="H86:L86" si="76">SUM(H83:H85)</f>
        <v>391620.85195059434</v>
      </c>
      <c r="I86" s="20">
        <f t="shared" si="76"/>
        <v>440933.67727596697</v>
      </c>
      <c r="J86" s="20">
        <f t="shared" si="76"/>
        <v>497753.67871422338</v>
      </c>
      <c r="K86" s="20">
        <f t="shared" si="76"/>
        <v>563754.93264734687</v>
      </c>
      <c r="L86" s="20">
        <f t="shared" si="76"/>
        <v>639580.47956629447</v>
      </c>
    </row>
    <row r="87" spans="4:12" ht="15.5" x14ac:dyDescent="0.35">
      <c r="D87" s="15"/>
      <c r="E87" s="16"/>
      <c r="F87" s="16"/>
      <c r="G87" s="16"/>
      <c r="H87" s="16"/>
      <c r="I87" s="16"/>
      <c r="J87" s="16"/>
      <c r="K87" s="16"/>
      <c r="L87" s="16"/>
    </row>
    <row r="88" spans="4:12" ht="15.5" x14ac:dyDescent="0.35">
      <c r="D88" s="15"/>
      <c r="E88" s="16"/>
      <c r="F88" s="16"/>
      <c r="G88" s="16"/>
      <c r="H88" s="16"/>
      <c r="I88" s="16"/>
      <c r="J88" s="16"/>
      <c r="K88" s="16"/>
      <c r="L88" s="16"/>
    </row>
    <row r="89" spans="4:12" ht="15.5" x14ac:dyDescent="0.35">
      <c r="D89" s="15" t="s">
        <v>65</v>
      </c>
      <c r="E89" s="16"/>
      <c r="F89" s="16">
        <f>ROUND(F65-F81-F86,3)</f>
        <v>0</v>
      </c>
      <c r="G89" s="16">
        <f>ROUND(G65-G81-G86,3)</f>
        <v>0</v>
      </c>
      <c r="H89" s="16">
        <f t="shared" ref="H89:L89" si="77">ROUND(H65-H81-H86,3)</f>
        <v>0</v>
      </c>
      <c r="I89" s="16">
        <f t="shared" si="77"/>
        <v>0</v>
      </c>
      <c r="J89" s="16">
        <f t="shared" si="77"/>
        <v>0</v>
      </c>
      <c r="K89" s="16">
        <f t="shared" si="77"/>
        <v>0</v>
      </c>
      <c r="L89" s="16">
        <f t="shared" si="77"/>
        <v>0</v>
      </c>
    </row>
    <row r="90" spans="4:12" ht="15.5" x14ac:dyDescent="0.35">
      <c r="D90" s="15"/>
      <c r="E90" s="16"/>
      <c r="F90" s="16"/>
      <c r="G90" s="16"/>
      <c r="H90" s="16"/>
      <c r="I90" s="16"/>
      <c r="J90" s="16"/>
      <c r="K90" s="16"/>
      <c r="L90" s="16"/>
    </row>
    <row r="91" spans="4:12" ht="15.5" x14ac:dyDescent="0.35">
      <c r="D91" s="15" t="s">
        <v>66</v>
      </c>
      <c r="E91" s="16"/>
      <c r="F91" s="16">
        <f>F56/F12*365</f>
        <v>84.762934375535451</v>
      </c>
      <c r="G91" s="16">
        <f>G56/G12*365</f>
        <v>90.568517414206809</v>
      </c>
      <c r="H91" s="16">
        <f>AVERAGE(F91:G91)</f>
        <v>87.66572589487113</v>
      </c>
      <c r="I91" s="16">
        <f>H91</f>
        <v>87.66572589487113</v>
      </c>
      <c r="J91" s="16">
        <f t="shared" ref="J91:L91" si="78">I91</f>
        <v>87.66572589487113</v>
      </c>
      <c r="K91" s="16">
        <f t="shared" si="78"/>
        <v>87.66572589487113</v>
      </c>
      <c r="L91" s="16">
        <f t="shared" si="78"/>
        <v>87.66572589487113</v>
      </c>
    </row>
    <row r="92" spans="4:12" ht="15.5" x14ac:dyDescent="0.35">
      <c r="D92" s="15" t="s">
        <v>67</v>
      </c>
      <c r="E92" s="16"/>
      <c r="F92" s="16">
        <f>(F68*365)/F15</f>
        <v>108.32690179992984</v>
      </c>
      <c r="G92" s="16">
        <f>(G68*365)/G15</f>
        <v>115.21285195432137</v>
      </c>
      <c r="H92" s="16">
        <f>AVERAGE(F92:G92)</f>
        <v>111.7698768771256</v>
      </c>
      <c r="I92" s="16">
        <f>H92</f>
        <v>111.7698768771256</v>
      </c>
      <c r="J92" s="16">
        <f t="shared" ref="J92:L95" si="79">I92</f>
        <v>111.7698768771256</v>
      </c>
      <c r="K92" s="16">
        <f t="shared" si="79"/>
        <v>111.7698768771256</v>
      </c>
      <c r="L92" s="16">
        <f t="shared" si="79"/>
        <v>111.7698768771256</v>
      </c>
    </row>
    <row r="93" spans="4:12" ht="15.5" x14ac:dyDescent="0.35">
      <c r="D93" s="15" t="s">
        <v>68</v>
      </c>
      <c r="E93" s="16"/>
      <c r="F93" s="23">
        <f>F72/F23</f>
        <v>0.25530507353315351</v>
      </c>
      <c r="G93" s="23">
        <f>G72/G23</f>
        <v>0.33085570084881855</v>
      </c>
      <c r="H93" s="23">
        <f>AVERAGE(F93:G93)</f>
        <v>0.29308038719098606</v>
      </c>
      <c r="I93" s="23">
        <f>H93</f>
        <v>0.29308038719098606</v>
      </c>
      <c r="J93" s="23">
        <f t="shared" si="79"/>
        <v>0.29308038719098606</v>
      </c>
      <c r="K93" s="23">
        <f t="shared" si="79"/>
        <v>0.29308038719098606</v>
      </c>
      <c r="L93" s="23">
        <f t="shared" si="79"/>
        <v>0.29308038719098606</v>
      </c>
    </row>
    <row r="94" spans="4:12" ht="15.5" x14ac:dyDescent="0.35">
      <c r="D94" s="15" t="s">
        <v>69</v>
      </c>
      <c r="E94" s="16"/>
      <c r="F94" s="23">
        <f>F73/F12</f>
        <v>0.23491159504246864</v>
      </c>
      <c r="G94" s="23">
        <f>G73/G12</f>
        <v>0.22914270704661299</v>
      </c>
      <c r="H94" s="23">
        <f>AVERAGE(F94:G94)</f>
        <v>0.2320271510445408</v>
      </c>
      <c r="I94" s="23">
        <f>H94</f>
        <v>0.2320271510445408</v>
      </c>
      <c r="J94" s="23">
        <f t="shared" si="79"/>
        <v>0.2320271510445408</v>
      </c>
      <c r="K94" s="23">
        <f t="shared" si="79"/>
        <v>0.2320271510445408</v>
      </c>
      <c r="L94" s="23">
        <f t="shared" si="79"/>
        <v>0.2320271510445408</v>
      </c>
    </row>
    <row r="95" spans="4:12" ht="15.5" x14ac:dyDescent="0.35">
      <c r="D95" s="15" t="s">
        <v>70</v>
      </c>
      <c r="E95" s="16"/>
      <c r="F95" s="23">
        <f>F77/F12</f>
        <v>1.0615122265647311E-2</v>
      </c>
      <c r="G95" s="23">
        <f>G77/G12</f>
        <v>9.6193437548806639E-3</v>
      </c>
      <c r="H95" s="26">
        <f>AVERAGE(F95:G95)</f>
        <v>1.0117233010263987E-2</v>
      </c>
      <c r="I95" s="26">
        <f>H95</f>
        <v>1.0117233010263987E-2</v>
      </c>
      <c r="J95" s="26">
        <f t="shared" si="79"/>
        <v>1.0117233010263987E-2</v>
      </c>
      <c r="K95" s="26">
        <f t="shared" si="79"/>
        <v>1.0117233010263987E-2</v>
      </c>
      <c r="L95" s="26">
        <f t="shared" si="79"/>
        <v>1.0117233010263987E-2</v>
      </c>
    </row>
    <row r="96" spans="4:12" ht="15.5" x14ac:dyDescent="0.35">
      <c r="D96" s="15"/>
      <c r="E96" s="16"/>
      <c r="F96" s="16"/>
      <c r="G96" s="16"/>
      <c r="H96" s="16"/>
      <c r="I96" s="16"/>
      <c r="J96" s="16"/>
      <c r="K96" s="16"/>
      <c r="L96" s="16"/>
    </row>
    <row r="97" spans="4:12" ht="15.5" x14ac:dyDescent="0.35">
      <c r="D97" s="15"/>
      <c r="E97" s="16"/>
      <c r="F97" s="16"/>
      <c r="G97" s="16"/>
      <c r="H97" s="16"/>
      <c r="I97" s="16"/>
      <c r="J97" s="16"/>
      <c r="K97" s="16"/>
      <c r="L97" s="16"/>
    </row>
    <row r="98" spans="4:12" ht="15.5" x14ac:dyDescent="0.35">
      <c r="D98" s="15"/>
      <c r="E98" s="16"/>
      <c r="F98" s="16"/>
      <c r="G98" s="16"/>
      <c r="H98" s="16"/>
      <c r="I98" s="16"/>
      <c r="J98" s="16"/>
      <c r="K98" s="16"/>
      <c r="L98" s="16"/>
    </row>
    <row r="100" spans="4:12" ht="18.5" x14ac:dyDescent="0.45">
      <c r="D100" s="38" t="s">
        <v>71</v>
      </c>
      <c r="E100" s="39">
        <v>45107</v>
      </c>
      <c r="F100" s="39">
        <f>EOMONTH(E100,12)</f>
        <v>45473</v>
      </c>
      <c r="G100" s="39">
        <f t="shared" ref="G100" si="80">EOMONTH(F100,12)</f>
        <v>45838</v>
      </c>
      <c r="H100" s="39">
        <f t="shared" ref="H100" si="81">EOMONTH(G100,12)</f>
        <v>46203</v>
      </c>
      <c r="I100" s="39">
        <f t="shared" ref="I100" si="82">EOMONTH(H100,12)</f>
        <v>46568</v>
      </c>
      <c r="J100" s="39">
        <f t="shared" ref="J100" si="83">EOMONTH(I100,12)</f>
        <v>46934</v>
      </c>
      <c r="K100" s="39">
        <f t="shared" ref="K100" si="84">EOMONTH(J100,12)</f>
        <v>47299</v>
      </c>
      <c r="L100" s="39">
        <f t="shared" ref="L100" si="85">EOMONTH(K100,12)</f>
        <v>47664</v>
      </c>
    </row>
    <row r="102" spans="4:12" ht="15.5" x14ac:dyDescent="0.35">
      <c r="D102" s="15" t="s">
        <v>15</v>
      </c>
      <c r="E102" s="16"/>
      <c r="F102" s="16"/>
      <c r="G102" s="16"/>
      <c r="H102" s="16">
        <f>H24</f>
        <v>114173.37316864805</v>
      </c>
      <c r="I102" s="16">
        <f t="shared" ref="I102:L102" si="86">I24</f>
        <v>133358.0373014904</v>
      </c>
      <c r="J102" s="16">
        <f t="shared" si="86"/>
        <v>153483.28583302558</v>
      </c>
      <c r="K102" s="16">
        <f t="shared" si="86"/>
        <v>180983.70582249382</v>
      </c>
      <c r="L102" s="16">
        <f t="shared" si="86"/>
        <v>209903.21402704035</v>
      </c>
    </row>
    <row r="103" spans="4:12" ht="15.5" x14ac:dyDescent="0.35">
      <c r="D103" s="15" t="s">
        <v>72</v>
      </c>
      <c r="E103" s="16">
        <v>9611</v>
      </c>
      <c r="F103" s="16">
        <v>10734</v>
      </c>
      <c r="G103" s="16">
        <v>11974</v>
      </c>
      <c r="H103" s="16">
        <f>G103*(1+H29)</f>
        <v>13889.839999999998</v>
      </c>
      <c r="I103" s="16">
        <f t="shared" ref="I103:L103" si="87">H103*(1+I29)</f>
        <v>15973.315999999997</v>
      </c>
      <c r="J103" s="16">
        <f t="shared" si="87"/>
        <v>18449.179979999997</v>
      </c>
      <c r="K103" s="16">
        <f t="shared" si="87"/>
        <v>20755.327477499995</v>
      </c>
      <c r="L103" s="16">
        <f t="shared" si="87"/>
        <v>23349.743412187494</v>
      </c>
    </row>
    <row r="104" spans="4:12" ht="15.5" x14ac:dyDescent="0.35">
      <c r="D104" s="15" t="s">
        <v>73</v>
      </c>
      <c r="E104" s="16">
        <v>13861</v>
      </c>
      <c r="F104" s="16">
        <v>22287</v>
      </c>
      <c r="G104" s="16">
        <v>34153</v>
      </c>
      <c r="H104" s="16">
        <f>H147</f>
        <v>40231.89677883446</v>
      </c>
      <c r="I104" s="16">
        <f t="shared" ref="I104:L104" si="88">I147</f>
        <v>46782.545983323726</v>
      </c>
      <c r="J104" s="16">
        <f t="shared" si="88"/>
        <v>51150.046751506598</v>
      </c>
      <c r="K104" s="16">
        <f t="shared" si="88"/>
        <v>56239.18554867449</v>
      </c>
      <c r="L104" s="16">
        <f t="shared" si="88"/>
        <v>64621.489724024068</v>
      </c>
    </row>
    <row r="105" spans="4:12" ht="15.5" x14ac:dyDescent="0.35">
      <c r="D105" s="15" t="s">
        <v>74</v>
      </c>
      <c r="E105" s="16"/>
      <c r="F105" s="16"/>
      <c r="G105" s="16"/>
      <c r="H105" s="16">
        <f>-(SUM(H56:H58)-SUM(G56:G58))</f>
        <v>-8735.8887559664145</v>
      </c>
      <c r="I105" s="16">
        <f t="shared" ref="I105:L105" si="89">-(SUM(I56:I58)-SUM(H56:H58))</f>
        <v>-11936.833313394949</v>
      </c>
      <c r="J105" s="16">
        <f t="shared" si="89"/>
        <v>-14184.936920751003</v>
      </c>
      <c r="K105" s="16">
        <f t="shared" si="89"/>
        <v>-13212.582373764046</v>
      </c>
      <c r="L105" s="16">
        <f t="shared" si="89"/>
        <v>-14864.155170484562</v>
      </c>
    </row>
    <row r="106" spans="4:12" ht="15.5" x14ac:dyDescent="0.35">
      <c r="D106" s="15" t="s">
        <v>75</v>
      </c>
      <c r="E106" s="16"/>
      <c r="F106" s="16"/>
      <c r="G106" s="16"/>
      <c r="H106" s="16">
        <f>(H68+SUM(H71:H74))-(G68+SUM(G71:G74))</f>
        <v>21823.96070731213</v>
      </c>
      <c r="I106" s="16">
        <f t="shared" ref="I106:L106" si="90">(I68+SUM(I71:I74))-(H68+SUM(H71:H74))</f>
        <v>24357.189209789183</v>
      </c>
      <c r="J106" s="16">
        <f t="shared" si="90"/>
        <v>29872.853900517512</v>
      </c>
      <c r="K106" s="16">
        <f t="shared" si="90"/>
        <v>26132.963106369367</v>
      </c>
      <c r="L106" s="16">
        <f t="shared" si="90"/>
        <v>29394.421525152749</v>
      </c>
    </row>
    <row r="107" spans="4:12" ht="15.5" x14ac:dyDescent="0.35">
      <c r="D107" s="15" t="s">
        <v>87</v>
      </c>
      <c r="E107" s="16"/>
      <c r="F107" s="16"/>
      <c r="G107" s="16"/>
      <c r="H107" s="16">
        <f>-(H60-G60)</f>
        <v>-3971.6799999999967</v>
      </c>
      <c r="I107" s="16">
        <f t="shared" ref="I107:L107" si="91">-(I60-H60)</f>
        <v>-4319.2019999999939</v>
      </c>
      <c r="J107" s="16">
        <f t="shared" si="91"/>
        <v>-5132.6517099999983</v>
      </c>
      <c r="K107" s="16">
        <f t="shared" si="91"/>
        <v>-4780.8167137499986</v>
      </c>
      <c r="L107" s="16">
        <f t="shared" si="91"/>
        <v>-5378.4188029687502</v>
      </c>
    </row>
    <row r="108" spans="4:12" ht="15.5" x14ac:dyDescent="0.35">
      <c r="D108" s="15" t="s">
        <v>86</v>
      </c>
      <c r="E108" s="16"/>
      <c r="F108" s="16"/>
      <c r="G108" s="16"/>
      <c r="H108" s="16">
        <f>H79-G79</f>
        <v>2789.9199999999983</v>
      </c>
      <c r="I108" s="16">
        <f t="shared" ref="I108:L108" si="92">I79-H79</f>
        <v>3034.0379999999968</v>
      </c>
      <c r="J108" s="16">
        <f t="shared" si="92"/>
        <v>3605.4484899999989</v>
      </c>
      <c r="K108" s="16">
        <f t="shared" si="92"/>
        <v>3358.3008112499992</v>
      </c>
      <c r="L108" s="16">
        <f t="shared" si="92"/>
        <v>3778.0884126562487</v>
      </c>
    </row>
    <row r="109" spans="4:12" ht="15.5" x14ac:dyDescent="0.35">
      <c r="D109" s="15" t="s">
        <v>88</v>
      </c>
      <c r="E109" s="16"/>
      <c r="F109" s="16"/>
      <c r="G109" s="16"/>
      <c r="H109" s="16">
        <f>H77-G77</f>
        <v>596.31012899698908</v>
      </c>
      <c r="I109" s="16">
        <f t="shared" ref="I109:L109" si="93">I77-H77</f>
        <v>495.946519349548</v>
      </c>
      <c r="J109" s="16">
        <f t="shared" si="93"/>
        <v>589.3497804937133</v>
      </c>
      <c r="K109" s="16">
        <f t="shared" si="93"/>
        <v>548.95080360503107</v>
      </c>
      <c r="L109" s="16">
        <f t="shared" si="93"/>
        <v>617.56965405566007</v>
      </c>
    </row>
    <row r="110" spans="4:12" ht="15.5" x14ac:dyDescent="0.35">
      <c r="D110" s="18" t="s">
        <v>76</v>
      </c>
      <c r="E110" s="16"/>
      <c r="F110" s="16"/>
      <c r="G110" s="16"/>
      <c r="H110" s="19">
        <f>SUM(H102:H109)</f>
        <v>180797.73202782523</v>
      </c>
      <c r="I110" s="19">
        <f t="shared" ref="I110:L110" si="94">SUM(I102:I109)</f>
        <v>207745.03770055794</v>
      </c>
      <c r="J110" s="19">
        <f t="shared" si="94"/>
        <v>237832.57610479239</v>
      </c>
      <c r="K110" s="19">
        <f t="shared" si="94"/>
        <v>270025.03448237863</v>
      </c>
      <c r="L110" s="19">
        <f t="shared" si="94"/>
        <v>311421.95278166328</v>
      </c>
    </row>
    <row r="112" spans="4:12" ht="15.5" x14ac:dyDescent="0.35">
      <c r="D112" s="15" t="s">
        <v>77</v>
      </c>
      <c r="E112" s="16"/>
      <c r="F112" s="16"/>
      <c r="G112" s="16"/>
      <c r="H112" s="16">
        <f>H168</f>
        <v>-3000</v>
      </c>
      <c r="I112" s="16">
        <f t="shared" ref="I112:L112" si="95">I168</f>
        <v>-9250</v>
      </c>
      <c r="J112" s="16">
        <f t="shared" si="95"/>
        <v>0</v>
      </c>
      <c r="K112" s="16">
        <f t="shared" si="95"/>
        <v>-2054</v>
      </c>
      <c r="L112" s="16">
        <f t="shared" si="95"/>
        <v>0</v>
      </c>
    </row>
    <row r="113" spans="4:12" ht="15.5" x14ac:dyDescent="0.35">
      <c r="D113" s="15" t="s">
        <v>78</v>
      </c>
      <c r="E113" s="16"/>
      <c r="F113" s="16"/>
      <c r="G113" s="16"/>
      <c r="H113" s="16">
        <f>H167</f>
        <v>5000</v>
      </c>
      <c r="I113" s="16">
        <f t="shared" ref="I113:L113" si="96">I167</f>
        <v>5000</v>
      </c>
      <c r="J113" s="16">
        <f t="shared" si="96"/>
        <v>4000</v>
      </c>
      <c r="K113" s="16">
        <f t="shared" si="96"/>
        <v>4000</v>
      </c>
      <c r="L113" s="16">
        <f t="shared" si="96"/>
        <v>0</v>
      </c>
    </row>
    <row r="114" spans="4:12" ht="15.5" x14ac:dyDescent="0.35">
      <c r="D114" s="15" t="s">
        <v>79</v>
      </c>
      <c r="E114" s="16">
        <v>-19800</v>
      </c>
      <c r="F114" s="16">
        <v>-21771</v>
      </c>
      <c r="G114" s="16">
        <v>-24802</v>
      </c>
      <c r="H114" s="16">
        <f>-H24*H131</f>
        <v>-45669.34926745922</v>
      </c>
      <c r="I114" s="16">
        <f>-I24*I131</f>
        <v>-53343.214920596161</v>
      </c>
      <c r="J114" s="16">
        <f>-J24*J131</f>
        <v>-61393.314333210234</v>
      </c>
      <c r="K114" s="16">
        <f>-K24*K131</f>
        <v>-72393.482328997532</v>
      </c>
      <c r="L114" s="16">
        <f>-L24*L131</f>
        <v>-83961.28561081615</v>
      </c>
    </row>
    <row r="115" spans="4:12" ht="15.5" x14ac:dyDescent="0.35">
      <c r="D115" s="15" t="s">
        <v>80</v>
      </c>
      <c r="E115" s="16">
        <v>-22245</v>
      </c>
      <c r="F115" s="16">
        <v>-17254</v>
      </c>
      <c r="G115" s="16">
        <v>-18420</v>
      </c>
      <c r="H115" s="16">
        <f>-H24*H132</f>
        <v>-34252.011950594409</v>
      </c>
      <c r="I115" s="16">
        <f>-I24*I132</f>
        <v>-46675.313055521641</v>
      </c>
      <c r="J115" s="16">
        <f>-J24*J132</f>
        <v>-53719.150041558954</v>
      </c>
      <c r="K115" s="16">
        <f>-K24*K132</f>
        <v>-63344.297037872835</v>
      </c>
      <c r="L115" s="16">
        <f>-L24*L132</f>
        <v>-73466.12490946411</v>
      </c>
    </row>
    <row r="116" spans="4:12" ht="15.5" x14ac:dyDescent="0.35">
      <c r="D116" s="15" t="s">
        <v>81</v>
      </c>
      <c r="E116" s="16"/>
      <c r="F116" s="16"/>
      <c r="G116" s="16"/>
      <c r="H116" s="16">
        <f>H69-G69</f>
        <v>0</v>
      </c>
      <c r="I116" s="16">
        <f t="shared" ref="I116:L116" si="97">I69-H69</f>
        <v>0</v>
      </c>
      <c r="J116" s="16">
        <f t="shared" si="97"/>
        <v>0</v>
      </c>
      <c r="K116" s="16">
        <f t="shared" si="97"/>
        <v>0</v>
      </c>
      <c r="L116" s="16">
        <f t="shared" si="97"/>
        <v>0</v>
      </c>
    </row>
    <row r="117" spans="4:12" ht="15.5" x14ac:dyDescent="0.35">
      <c r="D117" s="15" t="s">
        <v>85</v>
      </c>
      <c r="E117" s="16"/>
      <c r="F117" s="16"/>
      <c r="G117" s="16"/>
      <c r="H117" s="16">
        <f>H70-G70</f>
        <v>-2999</v>
      </c>
      <c r="I117" s="16">
        <f t="shared" ref="I117:L117" si="98">I70-H70</f>
        <v>0</v>
      </c>
      <c r="J117" s="16">
        <f t="shared" si="98"/>
        <v>0</v>
      </c>
      <c r="K117" s="16">
        <f t="shared" si="98"/>
        <v>0</v>
      </c>
      <c r="L117" s="16">
        <f t="shared" si="98"/>
        <v>0</v>
      </c>
    </row>
    <row r="118" spans="4:12" ht="15.5" x14ac:dyDescent="0.35">
      <c r="D118" s="15" t="s">
        <v>82</v>
      </c>
      <c r="E118" s="16"/>
      <c r="F118" s="16"/>
      <c r="G118" s="16"/>
      <c r="H118" s="16">
        <f>-(H61-G61)</f>
        <v>402.5</v>
      </c>
      <c r="I118" s="16">
        <f t="shared" ref="I118:L118" si="99">-(I61-H61)</f>
        <v>0</v>
      </c>
      <c r="J118" s="16">
        <f t="shared" si="99"/>
        <v>0</v>
      </c>
      <c r="K118" s="16">
        <f t="shared" si="99"/>
        <v>0</v>
      </c>
      <c r="L118" s="16">
        <f t="shared" si="99"/>
        <v>0</v>
      </c>
    </row>
    <row r="119" spans="4:12" ht="15.5" x14ac:dyDescent="0.35">
      <c r="D119" s="18" t="s">
        <v>83</v>
      </c>
      <c r="E119" s="16"/>
      <c r="F119" s="16"/>
      <c r="G119" s="16"/>
      <c r="H119" s="19">
        <f>SUM(H112:H118)</f>
        <v>-80517.861218053629</v>
      </c>
      <c r="I119" s="19">
        <f t="shared" ref="I119:L119" si="100">SUM(I112:I118)</f>
        <v>-104268.5279761178</v>
      </c>
      <c r="J119" s="19">
        <f t="shared" si="100"/>
        <v>-111112.46437476919</v>
      </c>
      <c r="K119" s="19">
        <f t="shared" si="100"/>
        <v>-133791.77936687035</v>
      </c>
      <c r="L119" s="19">
        <f t="shared" si="100"/>
        <v>-157427.41052028025</v>
      </c>
    </row>
    <row r="121" spans="4:12" ht="15.5" x14ac:dyDescent="0.35">
      <c r="D121" s="15" t="s">
        <v>91</v>
      </c>
      <c r="E121" s="16">
        <v>-28107</v>
      </c>
      <c r="F121" s="16">
        <v>-44477</v>
      </c>
      <c r="G121" s="16">
        <v>-64551</v>
      </c>
      <c r="H121" s="16">
        <f>-H24*H133</f>
        <v>-79921.361218053629</v>
      </c>
      <c r="I121" s="16">
        <f t="shared" ref="I121:L121" si="101">-I24*I133</f>
        <v>-93350.626111043282</v>
      </c>
      <c r="J121" s="16">
        <f t="shared" si="101"/>
        <v>-99764.13579146663</v>
      </c>
      <c r="K121" s="16">
        <f t="shared" si="101"/>
        <v>-108590.22349349629</v>
      </c>
      <c r="L121" s="16">
        <f t="shared" si="101"/>
        <v>-125941.9284162242</v>
      </c>
    </row>
    <row r="122" spans="4:12" ht="15.5" x14ac:dyDescent="0.35">
      <c r="D122" s="15" t="s">
        <v>92</v>
      </c>
      <c r="E122" s="16"/>
      <c r="F122" s="16"/>
      <c r="G122" s="16"/>
      <c r="H122" s="16">
        <f>-H160</f>
        <v>-18112.393151398785</v>
      </c>
      <c r="I122" s="16">
        <f t="shared" ref="I122:L122" si="102">-I160</f>
        <v>-20423.602124108613</v>
      </c>
      <c r="J122" s="16">
        <f t="shared" si="102"/>
        <v>-23824.537453345445</v>
      </c>
      <c r="K122" s="16">
        <f t="shared" si="102"/>
        <v>-25179.193335013624</v>
      </c>
      <c r="L122" s="16">
        <f t="shared" si="102"/>
        <v>-28326.592501890336</v>
      </c>
    </row>
    <row r="123" spans="4:12" ht="15.5" x14ac:dyDescent="0.35">
      <c r="D123" s="15" t="s">
        <v>93</v>
      </c>
      <c r="E123" s="16"/>
      <c r="F123" s="16"/>
      <c r="G123" s="16"/>
      <c r="H123" s="16">
        <f>H80-G80</f>
        <v>7229.7599999999948</v>
      </c>
      <c r="I123" s="16">
        <f t="shared" ref="I123:L123" si="103">I80-H80</f>
        <v>7862.3639999999941</v>
      </c>
      <c r="J123" s="16">
        <f t="shared" si="103"/>
        <v>9343.1092200000057</v>
      </c>
      <c r="K123" s="16">
        <f t="shared" si="103"/>
        <v>8702.6541525000066</v>
      </c>
      <c r="L123" s="16">
        <f t="shared" si="103"/>
        <v>9790.4859215625038</v>
      </c>
    </row>
    <row r="124" spans="4:12" ht="15.5" x14ac:dyDescent="0.35">
      <c r="D124" s="18" t="s">
        <v>94</v>
      </c>
      <c r="E124" s="16"/>
      <c r="F124" s="16"/>
      <c r="G124" s="16"/>
      <c r="H124" s="19">
        <f>SUM(H121:H123)</f>
        <v>-90803.994369452426</v>
      </c>
      <c r="I124" s="19">
        <f t="shared" ref="I124:L124" si="104">SUM(I121:I123)</f>
        <v>-105911.86423515191</v>
      </c>
      <c r="J124" s="19">
        <f t="shared" si="104"/>
        <v>-114245.56402481208</v>
      </c>
      <c r="K124" s="19">
        <f t="shared" si="104"/>
        <v>-125066.76267600991</v>
      </c>
      <c r="L124" s="19">
        <f t="shared" si="104"/>
        <v>-144478.03499655201</v>
      </c>
    </row>
    <row r="125" spans="4:12" ht="15.5" x14ac:dyDescent="0.35">
      <c r="D125" s="15"/>
      <c r="E125" s="16"/>
      <c r="F125" s="16"/>
      <c r="G125" s="16"/>
      <c r="H125" s="16"/>
      <c r="I125" s="16"/>
      <c r="J125" s="16"/>
      <c r="K125" s="16"/>
      <c r="L125" s="16"/>
    </row>
    <row r="126" spans="4:12" ht="15.5" x14ac:dyDescent="0.35">
      <c r="D126" s="18" t="s">
        <v>96</v>
      </c>
      <c r="E126" s="16"/>
      <c r="F126" s="16"/>
      <c r="G126" s="16"/>
      <c r="H126" s="19">
        <f>H110+H119+H124</f>
        <v>9475.8764403191744</v>
      </c>
      <c r="I126" s="19">
        <f t="shared" ref="I126:L126" si="105">I110+I119+I124</f>
        <v>-2435.3545107117679</v>
      </c>
      <c r="J126" s="19">
        <f t="shared" si="105"/>
        <v>12474.547705211124</v>
      </c>
      <c r="K126" s="19">
        <f t="shared" si="105"/>
        <v>11166.492439498368</v>
      </c>
      <c r="L126" s="19">
        <f t="shared" si="105"/>
        <v>9516.5072648310161</v>
      </c>
    </row>
    <row r="131" spans="4:12" ht="15.5" x14ac:dyDescent="0.35">
      <c r="D131" s="15" t="s">
        <v>89</v>
      </c>
      <c r="E131" s="23">
        <f>-E114/E24</f>
        <v>0.2736280593137187</v>
      </c>
      <c r="F131" s="23">
        <f>-F114/F24</f>
        <v>0.24701597531088318</v>
      </c>
      <c r="G131" s="23">
        <f>-G114/G24</f>
        <v>0.24355801712624714</v>
      </c>
      <c r="H131" s="23">
        <v>0.4</v>
      </c>
      <c r="I131" s="23">
        <v>0.4</v>
      </c>
      <c r="J131" s="23">
        <v>0.4</v>
      </c>
      <c r="K131" s="23">
        <v>0.4</v>
      </c>
      <c r="L131" s="23">
        <v>0.4</v>
      </c>
    </row>
    <row r="132" spans="4:12" ht="15.5" x14ac:dyDescent="0.35">
      <c r="D132" s="15" t="s">
        <v>90</v>
      </c>
      <c r="E132" s="23">
        <f>-E115/E24</f>
        <v>0.30741697875927643</v>
      </c>
      <c r="F132" s="23">
        <f>-F115/F24</f>
        <v>0.1957656349278388</v>
      </c>
      <c r="G132" s="23">
        <f>-G115/G24</f>
        <v>0.18088616544897479</v>
      </c>
      <c r="H132" s="23">
        <v>0.3</v>
      </c>
      <c r="I132" s="23">
        <v>0.35</v>
      </c>
      <c r="J132" s="23">
        <v>0.35</v>
      </c>
      <c r="K132" s="23">
        <v>0.35</v>
      </c>
      <c r="L132" s="23">
        <v>0.35</v>
      </c>
    </row>
    <row r="133" spans="4:12" ht="15.5" x14ac:dyDescent="0.35">
      <c r="D133" s="15" t="s">
        <v>95</v>
      </c>
      <c r="E133" s="23">
        <f>-E121/E24</f>
        <v>0.38842746783488341</v>
      </c>
      <c r="F133" s="23">
        <f t="shared" ref="F133:G133" si="106">-F121/F24</f>
        <v>0.50464055550512843</v>
      </c>
      <c r="G133" s="23">
        <f t="shared" si="106"/>
        <v>0.63389700683478667</v>
      </c>
      <c r="H133" s="23">
        <v>0.7</v>
      </c>
      <c r="I133" s="23">
        <v>0.7</v>
      </c>
      <c r="J133" s="23">
        <v>0.65</v>
      </c>
      <c r="K133" s="23">
        <v>0.6</v>
      </c>
      <c r="L133" s="23">
        <v>0.6</v>
      </c>
    </row>
    <row r="134" spans="4:12" ht="15.5" x14ac:dyDescent="0.35">
      <c r="D134" s="15"/>
      <c r="E134" s="16"/>
      <c r="F134" s="16"/>
      <c r="G134" s="16"/>
      <c r="H134" s="16"/>
      <c r="I134" s="16"/>
      <c r="J134" s="16"/>
      <c r="K134" s="16"/>
      <c r="L134" s="16"/>
    </row>
    <row r="138" spans="4:12" ht="15.5" x14ac:dyDescent="0.35">
      <c r="D138" s="30" t="s">
        <v>104</v>
      </c>
      <c r="E138" s="31">
        <v>45107</v>
      </c>
      <c r="F138" s="31">
        <f>EOMONTH(E138,12)</f>
        <v>45473</v>
      </c>
      <c r="G138" s="31">
        <f t="shared" ref="G138" si="107">EOMONTH(F138,12)</f>
        <v>45838</v>
      </c>
      <c r="H138" s="31">
        <f t="shared" ref="H138" si="108">EOMONTH(G138,12)</f>
        <v>46203</v>
      </c>
      <c r="I138" s="31">
        <f t="shared" ref="I138" si="109">EOMONTH(H138,12)</f>
        <v>46568</v>
      </c>
      <c r="J138" s="31">
        <f t="shared" ref="J138" si="110">EOMONTH(I138,12)</f>
        <v>46934</v>
      </c>
      <c r="K138" s="31">
        <f t="shared" ref="K138" si="111">EOMONTH(J138,12)</f>
        <v>47299</v>
      </c>
      <c r="L138" s="31">
        <f t="shared" ref="L138" si="112">EOMONTH(K138,12)</f>
        <v>47664</v>
      </c>
    </row>
    <row r="139" spans="4:12" ht="15.5" x14ac:dyDescent="0.35">
      <c r="D139" s="15" t="s">
        <v>99</v>
      </c>
      <c r="E139" s="16">
        <v>11000</v>
      </c>
      <c r="F139" s="16">
        <v>15200</v>
      </c>
      <c r="G139" s="16">
        <v>22000</v>
      </c>
      <c r="H139" s="16">
        <f>-H140*H141</f>
        <v>28609.903627435666</v>
      </c>
      <c r="I139" s="16">
        <f t="shared" ref="I139:L139" si="113">-I140*I141</f>
        <v>33417.25385921511</v>
      </c>
      <c r="J139" s="16">
        <f t="shared" si="113"/>
        <v>35713.134348161147</v>
      </c>
      <c r="K139" s="16">
        <f t="shared" si="113"/>
        <v>38872.659094910865</v>
      </c>
      <c r="L139" s="16">
        <f t="shared" si="113"/>
        <v>45084.147463539986</v>
      </c>
    </row>
    <row r="140" spans="4:12" ht="15.5" x14ac:dyDescent="0.35">
      <c r="D140" s="15" t="s">
        <v>97</v>
      </c>
      <c r="E140" s="16">
        <f>E121</f>
        <v>-28107</v>
      </c>
      <c r="F140" s="16">
        <f t="shared" ref="F140:L140" si="114">F121</f>
        <v>-44477</v>
      </c>
      <c r="G140" s="16">
        <f t="shared" si="114"/>
        <v>-64551</v>
      </c>
      <c r="H140" s="16">
        <f t="shared" si="114"/>
        <v>-79921.361218053629</v>
      </c>
      <c r="I140" s="16">
        <f t="shared" si="114"/>
        <v>-93350.626111043282</v>
      </c>
      <c r="J140" s="16">
        <f t="shared" si="114"/>
        <v>-99764.13579146663</v>
      </c>
      <c r="K140" s="16">
        <f t="shared" si="114"/>
        <v>-108590.22349349629</v>
      </c>
      <c r="L140" s="16">
        <f t="shared" si="114"/>
        <v>-125941.9284162242</v>
      </c>
    </row>
    <row r="141" spans="4:12" ht="15.5" x14ac:dyDescent="0.35">
      <c r="D141" s="15" t="s">
        <v>98</v>
      </c>
      <c r="E141" s="23">
        <f>-E139/E140</f>
        <v>0.39136158252392644</v>
      </c>
      <c r="F141" s="23">
        <f t="shared" ref="F141:G141" si="115">-F139/F140</f>
        <v>0.34174966836792048</v>
      </c>
      <c r="G141" s="23">
        <f t="shared" si="115"/>
        <v>0.34081578906600984</v>
      </c>
      <c r="H141" s="23">
        <f>AVERAGE(E141:G141)</f>
        <v>0.35797567998595231</v>
      </c>
      <c r="I141" s="23">
        <f>H141</f>
        <v>0.35797567998595231</v>
      </c>
      <c r="J141" s="23">
        <f t="shared" ref="J141:L141" si="116">I141</f>
        <v>0.35797567998595231</v>
      </c>
      <c r="K141" s="23">
        <f t="shared" si="116"/>
        <v>0.35797567998595231</v>
      </c>
      <c r="L141" s="23">
        <f t="shared" si="116"/>
        <v>0.35797567998595231</v>
      </c>
    </row>
    <row r="142" spans="4:12" ht="15.5" x14ac:dyDescent="0.35">
      <c r="D142" s="15"/>
      <c r="E142" s="16"/>
      <c r="F142" s="16"/>
      <c r="G142" s="16"/>
      <c r="H142" s="16"/>
      <c r="I142" s="16"/>
      <c r="J142" s="16"/>
      <c r="K142" s="16"/>
      <c r="L142" s="16"/>
    </row>
    <row r="143" spans="4:12" ht="15.5" x14ac:dyDescent="0.35">
      <c r="D143" s="15" t="s">
        <v>100</v>
      </c>
      <c r="E143" s="16"/>
      <c r="F143" s="16">
        <f>F64</f>
        <v>36460</v>
      </c>
      <c r="G143" s="16">
        <f t="shared" ref="G143:L143" si="117">G64</f>
        <v>40565</v>
      </c>
      <c r="H143" s="16">
        <f t="shared" si="117"/>
        <v>47055.399999999994</v>
      </c>
      <c r="I143" s="16">
        <f t="shared" si="117"/>
        <v>54113.709999999992</v>
      </c>
      <c r="J143" s="16">
        <f t="shared" si="117"/>
        <v>62501.335049999994</v>
      </c>
      <c r="K143" s="16">
        <f t="shared" si="117"/>
        <v>70314.001931249994</v>
      </c>
      <c r="L143" s="16">
        <f t="shared" si="117"/>
        <v>79103.252172656241</v>
      </c>
    </row>
    <row r="144" spans="4:12" ht="15.5" x14ac:dyDescent="0.35">
      <c r="D144" s="15" t="s">
        <v>101</v>
      </c>
      <c r="E144" s="16"/>
      <c r="F144" s="16">
        <v>7087</v>
      </c>
      <c r="G144" s="16">
        <v>12153</v>
      </c>
      <c r="H144" s="16">
        <f>H143*H145</f>
        <v>11621.993151398792</v>
      </c>
      <c r="I144" s="16">
        <f t="shared" ref="I144:L144" si="118">I143*I145</f>
        <v>13365.292124108611</v>
      </c>
      <c r="J144" s="16">
        <f t="shared" si="118"/>
        <v>15436.912403345446</v>
      </c>
      <c r="K144" s="16">
        <f t="shared" si="118"/>
        <v>17366.526453763629</v>
      </c>
      <c r="L144" s="16">
        <f t="shared" si="118"/>
        <v>19537.342260484082</v>
      </c>
    </row>
    <row r="145" spans="4:12" ht="15.5" x14ac:dyDescent="0.35">
      <c r="D145" s="15" t="s">
        <v>102</v>
      </c>
      <c r="E145" s="16"/>
      <c r="F145" s="26">
        <f>F144/F143</f>
        <v>0.19437739989029074</v>
      </c>
      <c r="G145" s="26">
        <f>G144/G143</f>
        <v>0.29959324540860349</v>
      </c>
      <c r="H145" s="26">
        <f>AVERAGE(F145:G145)</f>
        <v>0.24698532264944711</v>
      </c>
      <c r="I145" s="26">
        <f>H145</f>
        <v>0.24698532264944711</v>
      </c>
      <c r="J145" s="26">
        <f t="shared" ref="J145:L145" si="119">I145</f>
        <v>0.24698532264944711</v>
      </c>
      <c r="K145" s="26">
        <f t="shared" si="119"/>
        <v>0.24698532264944711</v>
      </c>
      <c r="L145" s="26">
        <f t="shared" si="119"/>
        <v>0.24698532264944711</v>
      </c>
    </row>
    <row r="146" spans="4:12" ht="15.5" x14ac:dyDescent="0.35">
      <c r="D146" s="15"/>
      <c r="E146" s="16"/>
      <c r="F146" s="16"/>
      <c r="G146" s="16"/>
      <c r="H146" s="16"/>
      <c r="I146" s="16"/>
      <c r="J146" s="16"/>
      <c r="K146" s="16"/>
      <c r="L146" s="16"/>
    </row>
    <row r="147" spans="4:12" ht="15.5" x14ac:dyDescent="0.35">
      <c r="D147" s="18" t="s">
        <v>103</v>
      </c>
      <c r="E147" s="19"/>
      <c r="F147" s="19"/>
      <c r="G147" s="19"/>
      <c r="H147" s="19">
        <f>H144+H139</f>
        <v>40231.89677883446</v>
      </c>
      <c r="I147" s="19">
        <f t="shared" ref="I147:L147" si="120">I144+I139</f>
        <v>46782.545983323726</v>
      </c>
      <c r="J147" s="19">
        <f t="shared" si="120"/>
        <v>51150.046751506598</v>
      </c>
      <c r="K147" s="19">
        <f t="shared" si="120"/>
        <v>56239.18554867449</v>
      </c>
      <c r="L147" s="19">
        <f t="shared" si="120"/>
        <v>64621.489724024068</v>
      </c>
    </row>
    <row r="149" spans="4:12" ht="15.5" x14ac:dyDescent="0.35">
      <c r="D149" s="15"/>
      <c r="E149" s="16"/>
      <c r="F149" s="16"/>
      <c r="G149" s="16"/>
      <c r="H149" s="16"/>
      <c r="I149" s="16"/>
      <c r="J149" s="16"/>
      <c r="K149" s="16"/>
      <c r="L149" s="16"/>
    </row>
    <row r="150" spans="4:12" ht="15.5" x14ac:dyDescent="0.35">
      <c r="D150" s="30" t="s">
        <v>105</v>
      </c>
      <c r="E150" s="31">
        <v>45107</v>
      </c>
      <c r="F150" s="31">
        <f>EOMONTH(E150,12)</f>
        <v>45473</v>
      </c>
      <c r="G150" s="31">
        <f t="shared" ref="G150" si="121">EOMONTH(F150,12)</f>
        <v>45838</v>
      </c>
      <c r="H150" s="31">
        <f t="shared" ref="H150" si="122">EOMONTH(G150,12)</f>
        <v>46203</v>
      </c>
      <c r="I150" s="31">
        <f t="shared" ref="I150" si="123">EOMONTH(H150,12)</f>
        <v>46568</v>
      </c>
      <c r="J150" s="31">
        <f t="shared" ref="J150" si="124">EOMONTH(I150,12)</f>
        <v>46934</v>
      </c>
      <c r="K150" s="31">
        <f t="shared" ref="K150" si="125">EOMONTH(J150,12)</f>
        <v>47299</v>
      </c>
      <c r="L150" s="31">
        <f t="shared" ref="L150" si="126">EOMONTH(K150,12)</f>
        <v>47664</v>
      </c>
    </row>
    <row r="151" spans="4:12" ht="15.5" x14ac:dyDescent="0.35">
      <c r="D151" s="15"/>
      <c r="E151" s="16"/>
      <c r="F151" s="16"/>
      <c r="G151" s="16"/>
      <c r="H151" s="16"/>
      <c r="I151" s="16"/>
      <c r="J151" s="16"/>
      <c r="K151" s="16"/>
      <c r="L151" s="16"/>
    </row>
    <row r="152" spans="4:12" ht="15.5" x14ac:dyDescent="0.35">
      <c r="D152" s="15" t="s">
        <v>106</v>
      </c>
      <c r="E152" s="16"/>
      <c r="F152" s="16"/>
      <c r="G152" s="16"/>
      <c r="H152" s="16">
        <f>G155</f>
        <v>204966</v>
      </c>
      <c r="I152" s="16">
        <f>H155</f>
        <v>256277.45759061794</v>
      </c>
      <c r="J152" s="16">
        <f t="shared" ref="J152:L152" si="127">I155</f>
        <v>316210.82984244608</v>
      </c>
      <c r="K152" s="16">
        <f t="shared" si="127"/>
        <v>380261.83128575154</v>
      </c>
      <c r="L152" s="16">
        <f t="shared" si="127"/>
        <v>449979.39568433701</v>
      </c>
    </row>
    <row r="153" spans="4:12" ht="15.5" x14ac:dyDescent="0.35">
      <c r="D153" s="15" t="s">
        <v>107</v>
      </c>
      <c r="E153" s="16"/>
      <c r="F153" s="16"/>
      <c r="G153" s="16"/>
      <c r="H153" s="16">
        <f>-H121</f>
        <v>79921.361218053629</v>
      </c>
      <c r="I153" s="16">
        <f t="shared" ref="I153:L153" si="128">-I121</f>
        <v>93350.626111043282</v>
      </c>
      <c r="J153" s="16">
        <f t="shared" si="128"/>
        <v>99764.13579146663</v>
      </c>
      <c r="K153" s="16">
        <f t="shared" si="128"/>
        <v>108590.22349349629</v>
      </c>
      <c r="L153" s="16">
        <f t="shared" si="128"/>
        <v>125941.9284162242</v>
      </c>
    </row>
    <row r="154" spans="4:12" ht="15.5" x14ac:dyDescent="0.35">
      <c r="D154" s="15" t="s">
        <v>108</v>
      </c>
      <c r="E154" s="16"/>
      <c r="F154" s="16"/>
      <c r="G154" s="16"/>
      <c r="H154" s="16">
        <f>-H139</f>
        <v>-28609.903627435666</v>
      </c>
      <c r="I154" s="16">
        <f t="shared" ref="I154:L154" si="129">-I139</f>
        <v>-33417.25385921511</v>
      </c>
      <c r="J154" s="16">
        <f t="shared" si="129"/>
        <v>-35713.134348161147</v>
      </c>
      <c r="K154" s="16">
        <f t="shared" si="129"/>
        <v>-38872.659094910865</v>
      </c>
      <c r="L154" s="16">
        <f t="shared" si="129"/>
        <v>-45084.147463539986</v>
      </c>
    </row>
    <row r="155" spans="4:12" ht="15.5" x14ac:dyDescent="0.35">
      <c r="D155" s="15" t="s">
        <v>109</v>
      </c>
      <c r="E155" s="16"/>
      <c r="F155" s="16"/>
      <c r="G155" s="16">
        <f>G59</f>
        <v>204966</v>
      </c>
      <c r="H155" s="16">
        <f>SUM(H152:H154)</f>
        <v>256277.45759061794</v>
      </c>
      <c r="I155" s="16">
        <f t="shared" ref="I155:L155" si="130">SUM(I152:I154)</f>
        <v>316210.82984244608</v>
      </c>
      <c r="J155" s="16">
        <f t="shared" si="130"/>
        <v>380261.83128575154</v>
      </c>
      <c r="K155" s="16">
        <f t="shared" si="130"/>
        <v>449979.39568433701</v>
      </c>
      <c r="L155" s="16">
        <f t="shared" si="130"/>
        <v>530837.17663702124</v>
      </c>
    </row>
    <row r="156" spans="4:12" ht="15.5" x14ac:dyDescent="0.35">
      <c r="D156" s="15"/>
      <c r="E156" s="16"/>
      <c r="F156" s="16"/>
      <c r="G156" s="16"/>
      <c r="H156" s="16"/>
      <c r="I156" s="16"/>
      <c r="J156" s="16"/>
      <c r="K156" s="16"/>
      <c r="L156" s="16"/>
    </row>
    <row r="157" spans="4:12" ht="15.5" x14ac:dyDescent="0.35">
      <c r="D157" s="30" t="s">
        <v>110</v>
      </c>
      <c r="E157" s="31">
        <v>45107</v>
      </c>
      <c r="F157" s="31">
        <f>EOMONTH(E157,12)</f>
        <v>45473</v>
      </c>
      <c r="G157" s="31">
        <f t="shared" ref="G157" si="131">EOMONTH(F157,12)</f>
        <v>45838</v>
      </c>
      <c r="H157" s="31">
        <f t="shared" ref="H157" si="132">EOMONTH(G157,12)</f>
        <v>46203</v>
      </c>
      <c r="I157" s="31">
        <f t="shared" ref="I157" si="133">EOMONTH(H157,12)</f>
        <v>46568</v>
      </c>
      <c r="J157" s="31">
        <f t="shared" ref="J157" si="134">EOMONTH(I157,12)</f>
        <v>46934</v>
      </c>
      <c r="K157" s="31">
        <f t="shared" ref="K157" si="135">EOMONTH(J157,12)</f>
        <v>47299</v>
      </c>
      <c r="L157" s="31">
        <f t="shared" ref="L157" si="136">EOMONTH(K157,12)</f>
        <v>47664</v>
      </c>
    </row>
    <row r="158" spans="4:12" ht="15.5" x14ac:dyDescent="0.35">
      <c r="D158" s="15"/>
      <c r="E158" s="16"/>
      <c r="F158" s="16"/>
      <c r="G158" s="16"/>
      <c r="H158" s="16"/>
      <c r="I158" s="16"/>
      <c r="J158" s="16"/>
      <c r="K158" s="16"/>
      <c r="L158" s="16"/>
    </row>
    <row r="159" spans="4:12" ht="15.5" x14ac:dyDescent="0.35">
      <c r="D159" s="15" t="s">
        <v>106</v>
      </c>
      <c r="E159" s="16"/>
      <c r="F159" s="16"/>
      <c r="G159" s="16">
        <f>F162</f>
        <v>36460</v>
      </c>
      <c r="H159" s="16">
        <f>G162</f>
        <v>40565</v>
      </c>
      <c r="I159" s="16">
        <f t="shared" ref="I159:L159" si="137">H162</f>
        <v>47055.399999999994</v>
      </c>
      <c r="J159" s="16">
        <f t="shared" si="137"/>
        <v>54113.709999999992</v>
      </c>
      <c r="K159" s="16">
        <f t="shared" si="137"/>
        <v>62501.335049999994</v>
      </c>
      <c r="L159" s="16">
        <f t="shared" si="137"/>
        <v>70314.001931249994</v>
      </c>
    </row>
    <row r="160" spans="4:12" ht="15.5" x14ac:dyDescent="0.35">
      <c r="D160" s="15" t="s">
        <v>111</v>
      </c>
      <c r="E160" s="16"/>
      <c r="F160" s="16"/>
      <c r="G160" s="16"/>
      <c r="H160" s="16">
        <f>H162-H161-H159</f>
        <v>18112.393151398785</v>
      </c>
      <c r="I160" s="16">
        <f t="shared" ref="I160:L160" si="138">I162-I161-I159</f>
        <v>20423.602124108613</v>
      </c>
      <c r="J160" s="16">
        <f t="shared" si="138"/>
        <v>23824.537453345445</v>
      </c>
      <c r="K160" s="16">
        <f t="shared" si="138"/>
        <v>25179.193335013624</v>
      </c>
      <c r="L160" s="16">
        <f t="shared" si="138"/>
        <v>28326.592501890336</v>
      </c>
    </row>
    <row r="161" spans="4:12" ht="15.5" x14ac:dyDescent="0.35">
      <c r="D161" s="15" t="s">
        <v>112</v>
      </c>
      <c r="E161" s="16"/>
      <c r="F161" s="16"/>
      <c r="G161" s="16"/>
      <c r="H161" s="16">
        <f>-H144</f>
        <v>-11621.993151398792</v>
      </c>
      <c r="I161" s="16">
        <f t="shared" ref="I161:L161" si="139">-I144</f>
        <v>-13365.292124108611</v>
      </c>
      <c r="J161" s="16">
        <f t="shared" si="139"/>
        <v>-15436.912403345446</v>
      </c>
      <c r="K161" s="16">
        <f t="shared" si="139"/>
        <v>-17366.526453763629</v>
      </c>
      <c r="L161" s="16">
        <f t="shared" si="139"/>
        <v>-19537.342260484082</v>
      </c>
    </row>
    <row r="162" spans="4:12" ht="15.5" x14ac:dyDescent="0.35">
      <c r="D162" s="15" t="s">
        <v>109</v>
      </c>
      <c r="E162" s="16"/>
      <c r="F162" s="16">
        <f>F64</f>
        <v>36460</v>
      </c>
      <c r="G162" s="16">
        <f>G64</f>
        <v>40565</v>
      </c>
      <c r="H162" s="16">
        <f>H64</f>
        <v>47055.399999999994</v>
      </c>
      <c r="I162" s="16">
        <f t="shared" ref="I162:L162" si="140">I64</f>
        <v>54113.709999999992</v>
      </c>
      <c r="J162" s="16">
        <f t="shared" si="140"/>
        <v>62501.335049999994</v>
      </c>
      <c r="K162" s="16">
        <f t="shared" si="140"/>
        <v>70314.001931249994</v>
      </c>
      <c r="L162" s="16">
        <f t="shared" si="140"/>
        <v>79103.252172656241</v>
      </c>
    </row>
    <row r="164" spans="4:12" ht="15.5" x14ac:dyDescent="0.35">
      <c r="D164" s="30" t="s">
        <v>115</v>
      </c>
      <c r="E164" s="31">
        <v>45107</v>
      </c>
      <c r="F164" s="31">
        <f>EOMONTH(E164,12)</f>
        <v>45473</v>
      </c>
      <c r="G164" s="31">
        <f t="shared" ref="G164" si="141">EOMONTH(F164,12)</f>
        <v>45838</v>
      </c>
      <c r="H164" s="31">
        <f t="shared" ref="H164" si="142">EOMONTH(G164,12)</f>
        <v>46203</v>
      </c>
      <c r="I164" s="31">
        <f t="shared" ref="I164" si="143">EOMONTH(H164,12)</f>
        <v>46568</v>
      </c>
      <c r="J164" s="31">
        <f t="shared" ref="J164" si="144">EOMONTH(I164,12)</f>
        <v>46934</v>
      </c>
      <c r="K164" s="31">
        <f t="shared" ref="K164" si="145">EOMONTH(J164,12)</f>
        <v>47299</v>
      </c>
      <c r="L164" s="31">
        <f t="shared" ref="L164" si="146">EOMONTH(K164,12)</f>
        <v>47664</v>
      </c>
    </row>
    <row r="165" spans="4:12" ht="15.5" x14ac:dyDescent="0.35">
      <c r="D165" s="15"/>
      <c r="E165" s="16"/>
      <c r="F165" s="16"/>
      <c r="G165" s="16"/>
      <c r="H165" s="16"/>
      <c r="I165" s="16"/>
      <c r="J165" s="16"/>
      <c r="K165" s="16"/>
      <c r="L165" s="16"/>
    </row>
    <row r="166" spans="4:12" ht="15.5" x14ac:dyDescent="0.35">
      <c r="D166" s="15" t="s">
        <v>106</v>
      </c>
      <c r="E166" s="16"/>
      <c r="F166" s="16"/>
      <c r="G166" s="16">
        <f t="shared" ref="G166:L166" si="147">F169</f>
        <v>42688</v>
      </c>
      <c r="H166" s="16">
        <f t="shared" si="147"/>
        <v>40152</v>
      </c>
      <c r="I166" s="16">
        <f t="shared" si="147"/>
        <v>42152</v>
      </c>
      <c r="J166" s="16">
        <f t="shared" si="147"/>
        <v>37902</v>
      </c>
      <c r="K166" s="16">
        <f t="shared" si="147"/>
        <v>41902</v>
      </c>
      <c r="L166" s="16">
        <f t="shared" si="147"/>
        <v>43848</v>
      </c>
    </row>
    <row r="167" spans="4:12" ht="15.5" x14ac:dyDescent="0.35">
      <c r="D167" s="15" t="s">
        <v>113</v>
      </c>
      <c r="E167" s="16"/>
      <c r="F167" s="16"/>
      <c r="G167" s="16"/>
      <c r="H167" s="16">
        <v>5000</v>
      </c>
      <c r="I167" s="16">
        <v>5000</v>
      </c>
      <c r="J167" s="16">
        <v>4000</v>
      </c>
      <c r="K167" s="16">
        <v>4000</v>
      </c>
      <c r="L167" s="16">
        <v>0</v>
      </c>
    </row>
    <row r="168" spans="4:12" ht="15.5" x14ac:dyDescent="0.35">
      <c r="D168" s="15" t="s">
        <v>114</v>
      </c>
      <c r="E168" s="16"/>
      <c r="F168" s="16"/>
      <c r="G168" s="16"/>
      <c r="H168" s="16">
        <v>-3000</v>
      </c>
      <c r="I168" s="16">
        <v>-9250</v>
      </c>
      <c r="J168" s="16">
        <v>0</v>
      </c>
      <c r="K168" s="16">
        <v>-2054</v>
      </c>
      <c r="L168" s="16">
        <v>0</v>
      </c>
    </row>
    <row r="169" spans="4:12" ht="15.5" x14ac:dyDescent="0.35">
      <c r="D169" s="15" t="s">
        <v>109</v>
      </c>
      <c r="E169" s="16"/>
      <c r="F169" s="16">
        <f>F75</f>
        <v>42688</v>
      </c>
      <c r="G169" s="16">
        <f>G75</f>
        <v>40152</v>
      </c>
      <c r="H169" s="16">
        <f>SUM(H166:H168)</f>
        <v>42152</v>
      </c>
      <c r="I169" s="16">
        <f>SUM(I166:I168)</f>
        <v>37902</v>
      </c>
      <c r="J169" s="16">
        <f t="shared" ref="J169:L169" si="148">SUM(J166:J168)</f>
        <v>41902</v>
      </c>
      <c r="K169" s="16">
        <f t="shared" si="148"/>
        <v>43848</v>
      </c>
      <c r="L169" s="16">
        <f t="shared" si="148"/>
        <v>43848</v>
      </c>
    </row>
    <row r="171" spans="4:12" ht="15.5" x14ac:dyDescent="0.35">
      <c r="D171" s="30" t="s">
        <v>116</v>
      </c>
      <c r="E171" s="31">
        <v>45107</v>
      </c>
      <c r="F171" s="31">
        <f>EOMONTH(E171,12)</f>
        <v>45473</v>
      </c>
      <c r="G171" s="31">
        <f t="shared" ref="G171" si="149">EOMONTH(F171,12)</f>
        <v>45838</v>
      </c>
      <c r="H171" s="31">
        <f t="shared" ref="H171" si="150">EOMONTH(G171,12)</f>
        <v>46203</v>
      </c>
      <c r="I171" s="31">
        <f t="shared" ref="I171" si="151">EOMONTH(H171,12)</f>
        <v>46568</v>
      </c>
      <c r="J171" s="31">
        <f t="shared" ref="J171" si="152">EOMONTH(I171,12)</f>
        <v>46934</v>
      </c>
      <c r="K171" s="31">
        <f t="shared" ref="K171" si="153">EOMONTH(J171,12)</f>
        <v>47299</v>
      </c>
      <c r="L171" s="31">
        <f t="shared" ref="L171" si="154">EOMONTH(K171,12)</f>
        <v>47664</v>
      </c>
    </row>
    <row r="172" spans="4:12" ht="15.5" x14ac:dyDescent="0.35">
      <c r="D172" s="15"/>
      <c r="E172" s="16"/>
      <c r="F172" s="16"/>
      <c r="G172" s="16"/>
      <c r="H172" s="16"/>
      <c r="I172" s="16"/>
      <c r="J172" s="16"/>
      <c r="K172" s="16"/>
      <c r="L172" s="16"/>
    </row>
    <row r="173" spans="4:12" ht="15.5" x14ac:dyDescent="0.35">
      <c r="D173" s="15" t="s">
        <v>54</v>
      </c>
      <c r="E173" s="16"/>
      <c r="F173" s="16"/>
      <c r="G173" s="16"/>
      <c r="H173" s="16">
        <f>H169</f>
        <v>42152</v>
      </c>
      <c r="I173" s="16">
        <f t="shared" ref="I173:L173" si="155">I169</f>
        <v>37902</v>
      </c>
      <c r="J173" s="16">
        <f t="shared" si="155"/>
        <v>41902</v>
      </c>
      <c r="K173" s="16">
        <f t="shared" si="155"/>
        <v>43848</v>
      </c>
      <c r="L173" s="16">
        <f t="shared" si="155"/>
        <v>43848</v>
      </c>
    </row>
    <row r="174" spans="4:12" ht="15.5" x14ac:dyDescent="0.35">
      <c r="D174" s="15" t="s">
        <v>117</v>
      </c>
      <c r="E174" s="16"/>
      <c r="F174" s="16"/>
      <c r="G174" s="16"/>
      <c r="H174" s="23">
        <v>5.5E-2</v>
      </c>
      <c r="I174" s="23">
        <v>5.5E-2</v>
      </c>
      <c r="J174" s="23">
        <v>0.05</v>
      </c>
      <c r="K174" s="23">
        <v>0.05</v>
      </c>
      <c r="L174" s="23">
        <v>0.05</v>
      </c>
    </row>
    <row r="175" spans="4:12" ht="15.5" x14ac:dyDescent="0.35">
      <c r="D175" s="15" t="s">
        <v>118</v>
      </c>
      <c r="E175" s="16"/>
      <c r="F175" s="16"/>
      <c r="G175" s="16"/>
      <c r="H175" s="16">
        <f>H173*H174</f>
        <v>2318.36</v>
      </c>
      <c r="I175" s="16">
        <f t="shared" ref="I175:L175" si="156">I173*I174</f>
        <v>2084.61</v>
      </c>
      <c r="J175" s="16">
        <f t="shared" si="156"/>
        <v>2095.1</v>
      </c>
      <c r="K175" s="16">
        <f t="shared" si="156"/>
        <v>2192.4</v>
      </c>
      <c r="L175" s="16">
        <f t="shared" si="156"/>
        <v>2192.4</v>
      </c>
    </row>
    <row r="176" spans="4:12" ht="15.5" x14ac:dyDescent="0.35">
      <c r="D176" s="15"/>
      <c r="E176" s="16"/>
      <c r="F176" s="16"/>
      <c r="G176" s="16"/>
      <c r="H176" s="16"/>
      <c r="I176" s="16"/>
      <c r="J176" s="16"/>
      <c r="K176" s="16"/>
      <c r="L176" s="16"/>
    </row>
    <row r="177" spans="4:12" ht="15.5" x14ac:dyDescent="0.35">
      <c r="D177" s="15" t="s">
        <v>119</v>
      </c>
      <c r="E177" s="16"/>
      <c r="F177" s="16"/>
      <c r="G177" s="16"/>
      <c r="H177" s="16">
        <f>H54</f>
        <v>39717.876440319174</v>
      </c>
      <c r="I177" s="16">
        <f t="shared" ref="I177:L177" si="157">I54</f>
        <v>37282.521929607406</v>
      </c>
      <c r="J177" s="16">
        <f t="shared" si="157"/>
        <v>49757.06963481853</v>
      </c>
      <c r="K177" s="16">
        <f t="shared" si="157"/>
        <v>60923.562074316898</v>
      </c>
      <c r="L177" s="16">
        <f t="shared" si="157"/>
        <v>70440.069339147914</v>
      </c>
    </row>
    <row r="178" spans="4:12" ht="15.5" x14ac:dyDescent="0.35">
      <c r="D178" s="15" t="s">
        <v>120</v>
      </c>
      <c r="E178" s="16"/>
      <c r="F178" s="16"/>
      <c r="G178" s="16"/>
      <c r="H178" s="23">
        <v>3.5000000000000003E-2</v>
      </c>
      <c r="I178" s="23">
        <v>3.5000000000000003E-2</v>
      </c>
      <c r="J178" s="23">
        <v>0.03</v>
      </c>
      <c r="K178" s="23">
        <v>0.03</v>
      </c>
      <c r="L178" s="23">
        <v>0.03</v>
      </c>
    </row>
    <row r="179" spans="4:12" ht="15.5" x14ac:dyDescent="0.35">
      <c r="D179" s="15" t="s">
        <v>121</v>
      </c>
      <c r="E179" s="16"/>
      <c r="F179" s="16"/>
      <c r="G179" s="16"/>
      <c r="H179" s="16">
        <f>H177*H178</f>
        <v>1390.1256754111712</v>
      </c>
      <c r="I179" s="16">
        <f t="shared" ref="I179:L179" si="158">I177*I178</f>
        <v>1304.8882675362593</v>
      </c>
      <c r="J179" s="16">
        <f t="shared" si="158"/>
        <v>1492.7120890445558</v>
      </c>
      <c r="K179" s="16">
        <f t="shared" si="158"/>
        <v>1827.7068622295069</v>
      </c>
      <c r="L179" s="16">
        <f t="shared" si="158"/>
        <v>2113.2020801744375</v>
      </c>
    </row>
    <row r="181" spans="4:12" ht="15.5" x14ac:dyDescent="0.35">
      <c r="D181" s="30" t="s">
        <v>62</v>
      </c>
      <c r="E181" s="31">
        <v>45107</v>
      </c>
      <c r="F181" s="31">
        <f>EOMONTH(E181,12)</f>
        <v>45473</v>
      </c>
      <c r="G181" s="31">
        <f t="shared" ref="G181" si="159">EOMONTH(F181,12)</f>
        <v>45838</v>
      </c>
      <c r="H181" s="31">
        <f t="shared" ref="H181" si="160">EOMONTH(G181,12)</f>
        <v>46203</v>
      </c>
      <c r="I181" s="31">
        <f t="shared" ref="I181" si="161">EOMONTH(H181,12)</f>
        <v>46568</v>
      </c>
      <c r="J181" s="31">
        <f t="shared" ref="J181" si="162">EOMONTH(I181,12)</f>
        <v>46934</v>
      </c>
      <c r="K181" s="31">
        <f t="shared" ref="K181" si="163">EOMONTH(J181,12)</f>
        <v>47299</v>
      </c>
      <c r="L181" s="31">
        <f t="shared" ref="L181" si="164">EOMONTH(K181,12)</f>
        <v>47664</v>
      </c>
    </row>
    <row r="182" spans="4:12" ht="15.5" x14ac:dyDescent="0.35">
      <c r="D182" s="15"/>
      <c r="E182" s="16"/>
      <c r="F182" s="16"/>
      <c r="G182" s="16"/>
      <c r="H182" s="16"/>
      <c r="I182" s="16"/>
      <c r="J182" s="16"/>
      <c r="K182" s="16"/>
      <c r="L182" s="16"/>
    </row>
    <row r="183" spans="4:12" ht="15.5" x14ac:dyDescent="0.35">
      <c r="D183" s="15" t="s">
        <v>106</v>
      </c>
      <c r="E183" s="16"/>
      <c r="F183" s="16"/>
      <c r="G183" s="16">
        <f>F187</f>
        <v>173144</v>
      </c>
      <c r="H183" s="16">
        <f t="shared" ref="H183:L183" si="165">G187</f>
        <v>237731</v>
      </c>
      <c r="I183" s="16">
        <f t="shared" si="165"/>
        <v>271983.01195059437</v>
      </c>
      <c r="J183" s="16">
        <f t="shared" si="165"/>
        <v>305322.52127596701</v>
      </c>
      <c r="K183" s="16">
        <f t="shared" si="165"/>
        <v>343693.34273422341</v>
      </c>
      <c r="L183" s="16">
        <f t="shared" si="165"/>
        <v>388939.26918984688</v>
      </c>
    </row>
    <row r="184" spans="4:12" ht="15.5" x14ac:dyDescent="0.35">
      <c r="D184" s="15" t="s">
        <v>15</v>
      </c>
      <c r="E184" s="16"/>
      <c r="F184" s="16"/>
      <c r="G184" s="16"/>
      <c r="H184" s="16">
        <f>H24</f>
        <v>114173.37316864805</v>
      </c>
      <c r="I184" s="16">
        <f t="shared" ref="I184:L184" si="166">I24</f>
        <v>133358.0373014904</v>
      </c>
      <c r="J184" s="16">
        <f t="shared" si="166"/>
        <v>153483.28583302558</v>
      </c>
      <c r="K184" s="16">
        <f t="shared" si="166"/>
        <v>180983.70582249382</v>
      </c>
      <c r="L184" s="16">
        <f t="shared" si="166"/>
        <v>209903.21402704035</v>
      </c>
    </row>
    <row r="185" spans="4:12" ht="15.5" x14ac:dyDescent="0.35">
      <c r="D185" s="15" t="s">
        <v>122</v>
      </c>
      <c r="E185" s="16"/>
      <c r="F185" s="16"/>
      <c r="G185" s="16"/>
      <c r="H185" s="16">
        <f>H114</f>
        <v>-45669.34926745922</v>
      </c>
      <c r="I185" s="16">
        <f t="shared" ref="I185:L185" si="167">I114</f>
        <v>-53343.214920596161</v>
      </c>
      <c r="J185" s="16">
        <f t="shared" si="167"/>
        <v>-61393.314333210234</v>
      </c>
      <c r="K185" s="16">
        <f t="shared" si="167"/>
        <v>-72393.482328997532</v>
      </c>
      <c r="L185" s="16">
        <f t="shared" si="167"/>
        <v>-83961.28561081615</v>
      </c>
    </row>
    <row r="186" spans="4:12" ht="15.5" x14ac:dyDescent="0.35">
      <c r="D186" s="15" t="s">
        <v>123</v>
      </c>
      <c r="E186" s="16"/>
      <c r="F186" s="16"/>
      <c r="G186" s="16"/>
      <c r="H186" s="16">
        <f>H115</f>
        <v>-34252.011950594409</v>
      </c>
      <c r="I186" s="16">
        <f t="shared" ref="I186:L186" si="168">I115</f>
        <v>-46675.313055521641</v>
      </c>
      <c r="J186" s="16">
        <f t="shared" si="168"/>
        <v>-53719.150041558954</v>
      </c>
      <c r="K186" s="16">
        <f t="shared" si="168"/>
        <v>-63344.297037872835</v>
      </c>
      <c r="L186" s="16">
        <f t="shared" si="168"/>
        <v>-73466.12490946411</v>
      </c>
    </row>
    <row r="187" spans="4:12" ht="15.5" x14ac:dyDescent="0.35">
      <c r="D187" s="15" t="s">
        <v>109</v>
      </c>
      <c r="E187" s="16"/>
      <c r="F187" s="16">
        <f>F84</f>
        <v>173144</v>
      </c>
      <c r="G187" s="16">
        <f t="shared" ref="G187" si="169">G84</f>
        <v>237731</v>
      </c>
      <c r="H187" s="16">
        <f>SUM(H183:H186)</f>
        <v>271983.01195059437</v>
      </c>
      <c r="I187" s="16">
        <f t="shared" ref="I187:L187" si="170">SUM(I183:I186)</f>
        <v>305322.52127596701</v>
      </c>
      <c r="J187" s="16">
        <f t="shared" si="170"/>
        <v>343693.34273422341</v>
      </c>
      <c r="K187" s="16">
        <f t="shared" si="170"/>
        <v>388939.26918984688</v>
      </c>
      <c r="L187" s="16">
        <f t="shared" si="170"/>
        <v>441415.07269660698</v>
      </c>
    </row>
    <row r="188" spans="4:12" ht="15.5" x14ac:dyDescent="0.35">
      <c r="D188" s="15"/>
      <c r="E188" s="16"/>
      <c r="F188" s="16"/>
      <c r="G188" s="16"/>
      <c r="H188" s="16"/>
      <c r="I188" s="16"/>
      <c r="J188" s="16"/>
      <c r="K188" s="16"/>
      <c r="L188" s="16"/>
    </row>
    <row r="189" spans="4:12" ht="15.5" x14ac:dyDescent="0.35">
      <c r="D189" s="30" t="s">
        <v>124</v>
      </c>
      <c r="E189" s="31">
        <v>45107</v>
      </c>
      <c r="F189" s="31">
        <f>EOMONTH(E189,12)</f>
        <v>45473</v>
      </c>
      <c r="G189" s="31">
        <f t="shared" ref="G189" si="171">EOMONTH(F189,12)</f>
        <v>45838</v>
      </c>
      <c r="H189" s="31">
        <f t="shared" ref="H189" si="172">EOMONTH(G189,12)</f>
        <v>46203</v>
      </c>
      <c r="I189" s="31">
        <f t="shared" ref="I189" si="173">EOMONTH(H189,12)</f>
        <v>46568</v>
      </c>
      <c r="J189" s="31">
        <f t="shared" ref="J189" si="174">EOMONTH(I189,12)</f>
        <v>46934</v>
      </c>
      <c r="K189" s="31">
        <f t="shared" ref="K189" si="175">EOMONTH(J189,12)</f>
        <v>47299</v>
      </c>
      <c r="L189" s="31">
        <f t="shared" ref="L189" si="176">EOMONTH(K189,12)</f>
        <v>47664</v>
      </c>
    </row>
    <row r="190" spans="4:12" ht="15.5" x14ac:dyDescent="0.35">
      <c r="D190" s="15"/>
      <c r="E190" s="16"/>
      <c r="F190" s="16"/>
      <c r="G190" s="16"/>
      <c r="H190" s="16"/>
      <c r="I190" s="16"/>
      <c r="J190" s="16"/>
      <c r="K190" s="16"/>
      <c r="L190" s="16"/>
    </row>
    <row r="191" spans="4:12" ht="15.5" x14ac:dyDescent="0.35">
      <c r="D191" s="15" t="s">
        <v>106</v>
      </c>
      <c r="E191" s="16"/>
      <c r="F191" s="16"/>
      <c r="G191" s="16">
        <f>F193</f>
        <v>100923</v>
      </c>
      <c r="H191" s="16">
        <f t="shared" ref="H191:L191" si="177">G193</f>
        <v>109095</v>
      </c>
      <c r="I191" s="16">
        <f t="shared" si="177"/>
        <v>122984.84</v>
      </c>
      <c r="J191" s="16">
        <f t="shared" si="177"/>
        <v>138958.15599999999</v>
      </c>
      <c r="K191" s="16">
        <f t="shared" si="177"/>
        <v>157407.33597999997</v>
      </c>
      <c r="L191" s="16">
        <f t="shared" si="177"/>
        <v>178162.66345749996</v>
      </c>
    </row>
    <row r="192" spans="4:12" ht="15.5" x14ac:dyDescent="0.35">
      <c r="D192" s="15" t="s">
        <v>125</v>
      </c>
      <c r="E192" s="16"/>
      <c r="F192" s="16"/>
      <c r="G192" s="16"/>
      <c r="H192" s="16">
        <f>H103</f>
        <v>13889.839999999998</v>
      </c>
      <c r="I192" s="16">
        <f t="shared" ref="I192:L192" si="178">I103</f>
        <v>15973.315999999997</v>
      </c>
      <c r="J192" s="16">
        <f t="shared" si="178"/>
        <v>18449.179979999997</v>
      </c>
      <c r="K192" s="16">
        <f t="shared" si="178"/>
        <v>20755.327477499995</v>
      </c>
      <c r="L192" s="16">
        <f t="shared" si="178"/>
        <v>23349.743412187494</v>
      </c>
    </row>
    <row r="193" spans="4:12" ht="15.5" x14ac:dyDescent="0.35">
      <c r="D193" s="15" t="s">
        <v>109</v>
      </c>
      <c r="E193" s="16"/>
      <c r="F193" s="16">
        <f>F83</f>
        <v>100923</v>
      </c>
      <c r="G193" s="16">
        <f>G83</f>
        <v>109095</v>
      </c>
      <c r="H193" s="16">
        <f>SUM(H191:H192)</f>
        <v>122984.84</v>
      </c>
      <c r="I193" s="16">
        <f t="shared" ref="I193:L193" si="179">SUM(I191:I192)</f>
        <v>138958.15599999999</v>
      </c>
      <c r="J193" s="16">
        <f t="shared" si="179"/>
        <v>157407.33597999997</v>
      </c>
      <c r="K193" s="16">
        <f t="shared" si="179"/>
        <v>178162.66345749996</v>
      </c>
      <c r="L193" s="16">
        <f t="shared" si="179"/>
        <v>201512.40686968746</v>
      </c>
    </row>
    <row r="194" spans="4:12" ht="15.5" x14ac:dyDescent="0.35">
      <c r="D194" s="15"/>
      <c r="E194" s="16"/>
      <c r="F194" s="16"/>
      <c r="G194" s="16"/>
      <c r="H194" s="16"/>
      <c r="I194" s="16"/>
      <c r="J194" s="16"/>
      <c r="K194" s="16"/>
      <c r="L194" s="16"/>
    </row>
    <row r="195" spans="4:12" ht="15.5" x14ac:dyDescent="0.35">
      <c r="D195" s="15"/>
      <c r="E195" s="16"/>
      <c r="F195" s="16"/>
      <c r="G195" s="16"/>
      <c r="H195" s="16"/>
      <c r="I195" s="16"/>
      <c r="J195" s="16"/>
      <c r="K195" s="16"/>
      <c r="L195" s="16"/>
    </row>
    <row r="196" spans="4:12" ht="15.5" x14ac:dyDescent="0.35">
      <c r="D196" s="15"/>
      <c r="E196" s="16"/>
      <c r="F196" s="16"/>
      <c r="G196" s="16"/>
      <c r="H196" s="16"/>
      <c r="I196" s="16"/>
      <c r="J196" s="16"/>
      <c r="K196" s="16"/>
      <c r="L196" s="16"/>
    </row>
    <row r="197" spans="4:12" ht="15.5" x14ac:dyDescent="0.35">
      <c r="D197" s="15"/>
      <c r="E197" s="16"/>
      <c r="F197" s="16"/>
      <c r="G197" s="16"/>
      <c r="H197" s="16"/>
      <c r="I197" s="16"/>
      <c r="J197" s="16"/>
      <c r="K197" s="16"/>
      <c r="L197" s="16"/>
    </row>
  </sheetData>
  <mergeCells count="1">
    <mergeCell ref="A1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23DD-9F64-4AA6-9A38-05134CB3A061}">
  <dimension ref="D2:M33"/>
  <sheetViews>
    <sheetView zoomScale="90" zoomScaleNormal="90" workbookViewId="0">
      <selection activeCell="D4" sqref="D4"/>
    </sheetView>
  </sheetViews>
  <sheetFormatPr defaultRowHeight="14.5" x14ac:dyDescent="0.35"/>
  <cols>
    <col min="2" max="2" width="10.453125" bestFit="1" customWidth="1"/>
    <col min="3" max="3" width="10.36328125" bestFit="1" customWidth="1"/>
    <col min="4" max="4" width="44.81640625" bestFit="1" customWidth="1"/>
    <col min="5" max="5" width="9.453125" bestFit="1" customWidth="1"/>
    <col min="6" max="6" width="10.36328125" bestFit="1" customWidth="1"/>
    <col min="7" max="12" width="9.453125" bestFit="1" customWidth="1"/>
  </cols>
  <sheetData>
    <row r="2" spans="4:13" x14ac:dyDescent="0.35">
      <c r="E2" s="9">
        <v>2</v>
      </c>
      <c r="F2" s="10" t="s">
        <v>132</v>
      </c>
    </row>
    <row r="3" spans="4:13" x14ac:dyDescent="0.35">
      <c r="E3" s="11"/>
      <c r="F3" s="12"/>
    </row>
    <row r="4" spans="4:13" x14ac:dyDescent="0.35">
      <c r="E4" s="11">
        <v>1</v>
      </c>
      <c r="F4" s="12" t="s">
        <v>128</v>
      </c>
    </row>
    <row r="5" spans="4:13" x14ac:dyDescent="0.35">
      <c r="E5" s="11">
        <v>2</v>
      </c>
      <c r="F5" s="12" t="s">
        <v>129</v>
      </c>
    </row>
    <row r="6" spans="4:13" x14ac:dyDescent="0.35">
      <c r="E6" s="13">
        <v>3</v>
      </c>
      <c r="F6" s="14" t="s">
        <v>130</v>
      </c>
    </row>
    <row r="8" spans="4:13" x14ac:dyDescent="0.35">
      <c r="D8" s="40" t="s">
        <v>127</v>
      </c>
      <c r="E8" s="41">
        <v>45107</v>
      </c>
      <c r="F8" s="41">
        <f>EOMONTH(E8,12)</f>
        <v>45473</v>
      </c>
      <c r="G8" s="41">
        <f t="shared" ref="G8:L8" si="0">EOMONTH(F8,12)</f>
        <v>45838</v>
      </c>
      <c r="H8" s="41">
        <f t="shared" si="0"/>
        <v>46203</v>
      </c>
      <c r="I8" s="41">
        <f t="shared" si="0"/>
        <v>46568</v>
      </c>
      <c r="J8" s="41">
        <f t="shared" si="0"/>
        <v>46934</v>
      </c>
      <c r="K8" s="41">
        <f t="shared" si="0"/>
        <v>47299</v>
      </c>
      <c r="L8" s="41">
        <f t="shared" si="0"/>
        <v>47664</v>
      </c>
    </row>
    <row r="9" spans="4:13" x14ac:dyDescent="0.35">
      <c r="D9" t="s">
        <v>126</v>
      </c>
      <c r="E9" s="5"/>
      <c r="F9" s="5"/>
      <c r="H9" s="5">
        <f>CHOOSE($E$2,H16,H17,H18)</f>
        <v>0.16</v>
      </c>
      <c r="I9" s="5">
        <f t="shared" ref="I9:L9" si="1">CHOOSE($E$2,I16,I17,I18)</f>
        <v>0.15</v>
      </c>
      <c r="J9" s="5">
        <f t="shared" si="1"/>
        <v>0.155</v>
      </c>
      <c r="K9" s="5">
        <f t="shared" si="1"/>
        <v>0.125</v>
      </c>
      <c r="L9" s="5">
        <f t="shared" si="1"/>
        <v>0.125</v>
      </c>
      <c r="M9" s="5"/>
    </row>
    <row r="10" spans="4:13" x14ac:dyDescent="0.35">
      <c r="D10" t="s">
        <v>21</v>
      </c>
      <c r="E10" s="5"/>
      <c r="F10" s="5"/>
      <c r="G10" s="5"/>
      <c r="H10" s="5">
        <f>CHOOSE($E$2,H21,H22,H23)</f>
        <v>0.35</v>
      </c>
      <c r="I10" s="5">
        <f t="shared" ref="I10:L10" si="2">CHOOSE($E$2,I21,I22,I23)</f>
        <v>0.35</v>
      </c>
      <c r="J10" s="5">
        <f t="shared" si="2"/>
        <v>0.36</v>
      </c>
      <c r="K10" s="5">
        <f t="shared" si="2"/>
        <v>0.35</v>
      </c>
      <c r="L10" s="5">
        <f t="shared" si="2"/>
        <v>0.34</v>
      </c>
    </row>
    <row r="11" spans="4:13" x14ac:dyDescent="0.35">
      <c r="D11" t="s">
        <v>22</v>
      </c>
      <c r="E11" s="5"/>
      <c r="F11" s="5"/>
      <c r="G11" s="5"/>
      <c r="H11" s="5">
        <f>CHOOSE($E$2,H26,H27,H28)</f>
        <v>0.125</v>
      </c>
      <c r="I11" s="5">
        <f t="shared" ref="I11:L11" si="3">CHOOSE($E$2,I26,I27,I28)</f>
        <v>0.125</v>
      </c>
      <c r="J11" s="5">
        <f t="shared" si="3"/>
        <v>0.125</v>
      </c>
      <c r="K11" s="5">
        <f t="shared" si="3"/>
        <v>0.12</v>
      </c>
      <c r="L11" s="5">
        <f t="shared" si="3"/>
        <v>0.12</v>
      </c>
    </row>
    <row r="12" spans="4:13" x14ac:dyDescent="0.35">
      <c r="D12" t="s">
        <v>33</v>
      </c>
      <c r="E12" s="5"/>
      <c r="F12" s="5"/>
      <c r="G12" s="5"/>
      <c r="H12" s="6">
        <f>CHOOSE($E$2,H31,H32,H33)</f>
        <v>0.18279999999999999</v>
      </c>
      <c r="I12" s="6">
        <f t="shared" ref="I12:L12" si="4">CHOOSE($E$2,I31,I32,I33)</f>
        <v>0.18279999999999999</v>
      </c>
      <c r="J12" s="6">
        <f t="shared" si="4"/>
        <v>0.18279999999999999</v>
      </c>
      <c r="K12" s="6">
        <f t="shared" si="4"/>
        <v>0.18279999999999999</v>
      </c>
      <c r="L12" s="6">
        <f t="shared" si="4"/>
        <v>0.18279999999999999</v>
      </c>
    </row>
    <row r="15" spans="4:13" x14ac:dyDescent="0.35">
      <c r="D15" s="2" t="s">
        <v>126</v>
      </c>
      <c r="G15" s="2" t="s">
        <v>131</v>
      </c>
    </row>
    <row r="16" spans="4:13" x14ac:dyDescent="0.35">
      <c r="D16" s="7" t="s">
        <v>128</v>
      </c>
      <c r="G16" s="8">
        <v>0.01</v>
      </c>
      <c r="H16" s="4">
        <f>H17+$G$16</f>
        <v>0.17</v>
      </c>
      <c r="I16" s="4">
        <f t="shared" ref="I16:L16" si="5">I17+$G$16</f>
        <v>0.16</v>
      </c>
      <c r="J16" s="4">
        <f t="shared" si="5"/>
        <v>0.16500000000000001</v>
      </c>
      <c r="K16" s="4">
        <f t="shared" si="5"/>
        <v>0.13500000000000001</v>
      </c>
      <c r="L16" s="4">
        <f t="shared" si="5"/>
        <v>0.13500000000000001</v>
      </c>
    </row>
    <row r="17" spans="4:12" x14ac:dyDescent="0.35">
      <c r="D17" s="7" t="s">
        <v>129</v>
      </c>
      <c r="H17" s="4">
        <v>0.16</v>
      </c>
      <c r="I17" s="4">
        <v>0.15</v>
      </c>
      <c r="J17" s="4">
        <v>0.155</v>
      </c>
      <c r="K17" s="4">
        <v>0.125</v>
      </c>
      <c r="L17" s="4">
        <v>0.125</v>
      </c>
    </row>
    <row r="18" spans="4:12" x14ac:dyDescent="0.35">
      <c r="D18" s="7" t="s">
        <v>130</v>
      </c>
      <c r="G18" s="3">
        <v>-2.5000000000000001E-2</v>
      </c>
      <c r="H18" s="4">
        <f>H17+$G$18</f>
        <v>0.13500000000000001</v>
      </c>
      <c r="I18" s="4">
        <f t="shared" ref="I18:L18" si="6">I17+$G$18</f>
        <v>0.125</v>
      </c>
      <c r="J18" s="4">
        <f t="shared" si="6"/>
        <v>0.13</v>
      </c>
      <c r="K18" s="4">
        <f t="shared" si="6"/>
        <v>0.1</v>
      </c>
      <c r="L18" s="4">
        <f t="shared" si="6"/>
        <v>0.1</v>
      </c>
    </row>
    <row r="20" spans="4:12" x14ac:dyDescent="0.35">
      <c r="D20" s="2" t="s">
        <v>21</v>
      </c>
    </row>
    <row r="21" spans="4:12" x14ac:dyDescent="0.35">
      <c r="D21" s="7" t="s">
        <v>128</v>
      </c>
      <c r="G21" s="3">
        <v>-2.5000000000000001E-2</v>
      </c>
      <c r="H21" s="3">
        <f>H22+$G$21</f>
        <v>0.32499999999999996</v>
      </c>
      <c r="I21" s="3">
        <f t="shared" ref="I21:L21" si="7">I22+$G$21</f>
        <v>0.32499999999999996</v>
      </c>
      <c r="J21" s="3">
        <f t="shared" si="7"/>
        <v>0.33499999999999996</v>
      </c>
      <c r="K21" s="3">
        <f t="shared" si="7"/>
        <v>0.32499999999999996</v>
      </c>
      <c r="L21" s="3">
        <f t="shared" si="7"/>
        <v>0.315</v>
      </c>
    </row>
    <row r="22" spans="4:12" x14ac:dyDescent="0.35">
      <c r="D22" s="7" t="s">
        <v>129</v>
      </c>
      <c r="H22" s="4">
        <v>0.35</v>
      </c>
      <c r="I22" s="4">
        <v>0.35</v>
      </c>
      <c r="J22" s="4">
        <v>0.36</v>
      </c>
      <c r="K22" s="4">
        <v>0.35</v>
      </c>
      <c r="L22" s="4">
        <v>0.34</v>
      </c>
    </row>
    <row r="23" spans="4:12" x14ac:dyDescent="0.35">
      <c r="D23" s="7" t="s">
        <v>130</v>
      </c>
      <c r="G23" s="8">
        <v>0.05</v>
      </c>
      <c r="H23" s="4">
        <f>H22+$G$23</f>
        <v>0.39999999999999997</v>
      </c>
      <c r="I23" s="4">
        <f t="shared" ref="I23:L23" si="8">I22+$G$23</f>
        <v>0.39999999999999997</v>
      </c>
      <c r="J23" s="4">
        <f t="shared" si="8"/>
        <v>0.41</v>
      </c>
      <c r="K23" s="4">
        <f t="shared" si="8"/>
        <v>0.39999999999999997</v>
      </c>
      <c r="L23" s="4">
        <f t="shared" si="8"/>
        <v>0.39</v>
      </c>
    </row>
    <row r="25" spans="4:12" x14ac:dyDescent="0.35">
      <c r="D25" s="2" t="s">
        <v>22</v>
      </c>
    </row>
    <row r="26" spans="4:12" x14ac:dyDescent="0.35">
      <c r="D26" s="7" t="s">
        <v>128</v>
      </c>
      <c r="G26" s="3">
        <v>-2.5000000000000001E-2</v>
      </c>
      <c r="H26" s="4">
        <f>H27+$G$26</f>
        <v>0.1</v>
      </c>
      <c r="I26" s="4">
        <f t="shared" ref="I26:L26" si="9">I27+$G$26</f>
        <v>0.1</v>
      </c>
      <c r="J26" s="4">
        <f t="shared" si="9"/>
        <v>0.1</v>
      </c>
      <c r="K26" s="4">
        <f t="shared" si="9"/>
        <v>9.5000000000000001E-2</v>
      </c>
      <c r="L26" s="4">
        <f t="shared" si="9"/>
        <v>9.5000000000000001E-2</v>
      </c>
    </row>
    <row r="27" spans="4:12" x14ac:dyDescent="0.35">
      <c r="D27" s="7" t="s">
        <v>129</v>
      </c>
      <c r="H27" s="4">
        <v>0.125</v>
      </c>
      <c r="I27" s="4">
        <v>0.125</v>
      </c>
      <c r="J27" s="4">
        <v>0.125</v>
      </c>
      <c r="K27" s="4">
        <v>0.12</v>
      </c>
      <c r="L27" s="4">
        <v>0.12</v>
      </c>
    </row>
    <row r="28" spans="4:12" x14ac:dyDescent="0.35">
      <c r="D28" s="7" t="s">
        <v>130</v>
      </c>
      <c r="G28" s="3">
        <v>2.5000000000000001E-2</v>
      </c>
      <c r="H28" s="3">
        <f>H27+$G$28</f>
        <v>0.15</v>
      </c>
      <c r="I28" s="3">
        <f t="shared" ref="I28:L28" si="10">I27+$G$28</f>
        <v>0.15</v>
      </c>
      <c r="J28" s="3">
        <f t="shared" si="10"/>
        <v>0.15</v>
      </c>
      <c r="K28" s="3">
        <f t="shared" si="10"/>
        <v>0.14499999999999999</v>
      </c>
      <c r="L28" s="3">
        <f t="shared" si="10"/>
        <v>0.14499999999999999</v>
      </c>
    </row>
    <row r="30" spans="4:12" x14ac:dyDescent="0.35">
      <c r="D30" s="2" t="s">
        <v>33</v>
      </c>
    </row>
    <row r="31" spans="4:12" x14ac:dyDescent="0.35">
      <c r="D31" s="7" t="s">
        <v>128</v>
      </c>
      <c r="G31" s="8">
        <v>-0.01</v>
      </c>
      <c r="H31" s="3">
        <f>H32+$G$31</f>
        <v>0.17279999999999998</v>
      </c>
      <c r="I31" s="3">
        <f t="shared" ref="I31:L31" si="11">I32+$G$31</f>
        <v>0.17279999999999998</v>
      </c>
      <c r="J31" s="3">
        <f t="shared" si="11"/>
        <v>0.17279999999999998</v>
      </c>
      <c r="K31" s="3">
        <f t="shared" si="11"/>
        <v>0.17279999999999998</v>
      </c>
      <c r="L31" s="3">
        <f t="shared" si="11"/>
        <v>0.17279999999999998</v>
      </c>
    </row>
    <row r="32" spans="4:12" x14ac:dyDescent="0.35">
      <c r="D32" s="7" t="s">
        <v>129</v>
      </c>
      <c r="H32" s="3">
        <v>0.18279999999999999</v>
      </c>
      <c r="I32" s="3">
        <v>0.18279999999999999</v>
      </c>
      <c r="J32" s="3">
        <v>0.18279999999999999</v>
      </c>
      <c r="K32" s="3">
        <v>0.18279999999999999</v>
      </c>
      <c r="L32" s="3">
        <v>0.18279999999999999</v>
      </c>
    </row>
    <row r="33" spans="4:12" x14ac:dyDescent="0.35">
      <c r="D33" s="7" t="s">
        <v>130</v>
      </c>
      <c r="G33" s="3">
        <v>2.5000000000000001E-2</v>
      </c>
      <c r="H33" s="3">
        <f>H32+$G$33</f>
        <v>0.20779999999999998</v>
      </c>
      <c r="I33" s="3">
        <f t="shared" ref="I33:L33" si="12">I32+$G$33</f>
        <v>0.20779999999999998</v>
      </c>
      <c r="J33" s="3">
        <f t="shared" si="12"/>
        <v>0.20779999999999998</v>
      </c>
      <c r="K33" s="3">
        <f t="shared" si="12"/>
        <v>0.20779999999999998</v>
      </c>
      <c r="L33" s="3">
        <f t="shared" si="12"/>
        <v>0.20779999999999998</v>
      </c>
    </row>
  </sheetData>
  <dataValidations count="2">
    <dataValidation type="list" allowBlank="1" showInputMessage="1" showErrorMessage="1" sqref="C2:C3" xr:uid="{C54734CB-DE66-4CFC-A337-420395DA7057}">
      <formula1>$C$7:$C$9</formula1>
    </dataValidation>
    <dataValidation type="list" allowBlank="1" showInputMessage="1" showErrorMessage="1" sqref="E2:E3" xr:uid="{F89A4F0A-555B-40AC-AC86-B240568366DF}">
      <formula1>$E$4:$E$6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FSM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Arjun Panwar</dc:creator>
  <cp:lastModifiedBy>Anmol Arjun Panwar</cp:lastModifiedBy>
  <dcterms:created xsi:type="dcterms:W3CDTF">2026-06-21T10:22:43Z</dcterms:created>
  <dcterms:modified xsi:type="dcterms:W3CDTF">2026-06-30T15:13:41Z</dcterms:modified>
</cp:coreProperties>
</file>